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darshrajesh/Downloads/"/>
    </mc:Choice>
  </mc:AlternateContent>
  <xr:revisionPtr revIDLastSave="0" documentId="13_ncr:1_{5ACAECFF-3DB2-C545-9E12-3059B1129097}" xr6:coauthVersionLast="47" xr6:coauthVersionMax="47" xr10:uidLastSave="{00000000-0000-0000-0000-000000000000}"/>
  <bookViews>
    <workbookView xWindow="0" yWindow="760" windowWidth="15060" windowHeight="21580" xr2:uid="{00000000-000D-0000-FFFF-FFFF00000000}"/>
  </bookViews>
  <sheets>
    <sheet name="All_Years" sheetId="1" r:id="rId1"/>
    <sheet name="2013" sheetId="2" state="hidden" r:id="rId2"/>
    <sheet name="2014" sheetId="3" state="hidden" r:id="rId3"/>
    <sheet name="2015" sheetId="4" state="hidden" r:id="rId4"/>
    <sheet name="2016" sheetId="5" state="hidden" r:id="rId5"/>
    <sheet name="2017" sheetId="6" state="hidden" r:id="rId6"/>
    <sheet name="2018" sheetId="7" state="hidden" r:id="rId7"/>
    <sheet name="2019" sheetId="8" state="hidden" r:id="rId8"/>
    <sheet name="2020" sheetId="9" state="hidden" r:id="rId9"/>
    <sheet name="2021" sheetId="10" state="hidden" r:id="rId10"/>
    <sheet name="2022" sheetId="11" state="hidden" r:id="rId11"/>
    <sheet name="2023" sheetId="12" state="hidden" r:id="rId12"/>
    <sheet name="2024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qliQyIFxO/Tmj5spmPJmnKtUWzh0D3ijI6jf44JUUtI="/>
    </ext>
  </extLst>
</workbook>
</file>

<file path=xl/calcChain.xml><?xml version="1.0" encoding="utf-8"?>
<calcChain xmlns="http://schemas.openxmlformats.org/spreadsheetml/2006/main">
  <c r="B12" i="1" l="1"/>
  <c r="B13" i="1" s="1"/>
  <c r="C28" i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B3" i="1"/>
  <c r="B4" i="1" s="1"/>
  <c r="B5" i="1" s="1"/>
  <c r="B6" i="1" s="1"/>
  <c r="B7" i="1" s="1"/>
  <c r="B8" i="1" s="1"/>
  <c r="B9" i="1" s="1"/>
  <c r="B10" i="1" s="1"/>
  <c r="B11" i="1" s="1"/>
  <c r="B14" i="1" l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</calcChain>
</file>

<file path=xl/sharedStrings.xml><?xml version="1.0" encoding="utf-8"?>
<sst xmlns="http://schemas.openxmlformats.org/spreadsheetml/2006/main" count="13" uniqueCount="10">
  <si>
    <t>Week_Num</t>
  </si>
  <si>
    <t>Week ending</t>
  </si>
  <si>
    <t>Date of Sale</t>
  </si>
  <si>
    <t>Leaf_Qty</t>
  </si>
  <si>
    <t>Leaf_Price</t>
  </si>
  <si>
    <t>Dust_Qty</t>
  </si>
  <si>
    <t>Dust_Price</t>
  </si>
  <si>
    <t>25-/04/2023</t>
  </si>
  <si>
    <t>30-092023</t>
  </si>
  <si>
    <t>17-10-202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</si>
</sst>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;\-0;;@"/>
  </numFmts>
  <fonts count="3" x14ac:knownFonts="1"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164" fontId="2" fillId="0" borderId="1" xfId="0" applyNumberFormat="1" applyFont="1" applyBorder="1"/>
    <xf numFmtId="2" fontId="2" fillId="0" borderId="1" xfId="0" applyNumberFormat="1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3" xfId="0" applyNumberFormat="1" applyFont="1" applyBorder="1"/>
    <xf numFmtId="2" fontId="2" fillId="0" borderId="2" xfId="0" applyNumberFormat="1" applyFont="1" applyBorder="1"/>
    <xf numFmtId="164" fontId="2" fillId="0" borderId="0" xfId="0" applyNumberFormat="1" applyFont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2" fontId="2" fillId="2" borderId="1" xfId="0" applyNumberFormat="1" applyFont="1" applyFill="1" applyBorder="1"/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5" fontId="2" fillId="0" borderId="1" xfId="0" applyNumberFormat="1" applyFont="1" applyBorder="1"/>
    <xf numFmtId="15" fontId="2" fillId="0" borderId="2" xfId="0" applyNumberFormat="1" applyFont="1" applyBorder="1"/>
    <xf numFmtId="15" fontId="1" fillId="0" borderId="0" xfId="0" applyNumberFormat="1" applyFont="1" applyAlignment="1">
      <alignment horizontal="center" vertical="center" wrapText="1"/>
    </xf>
    <xf numFmtId="15" fontId="1" fillId="0" borderId="1" xfId="0" applyNumberFormat="1" applyFont="1" applyBorder="1"/>
    <xf numFmtId="0" fontId="1" fillId="0" borderId="1" xfId="0" applyFont="1" applyBorder="1"/>
    <xf numFmtId="15" fontId="1" fillId="2" borderId="1" xfId="0" applyNumberFormat="1" applyFont="1" applyFill="1" applyBorder="1"/>
    <xf numFmtId="15" fontId="1" fillId="0" borderId="1" xfId="0" applyNumberFormat="1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165" fontId="2" fillId="0" borderId="0" xfId="0" applyNumberFormat="1" applyFont="1"/>
    <xf numFmtId="165" fontId="2" fillId="0" borderId="3" xfId="0" applyNumberFormat="1" applyFont="1" applyBorder="1"/>
    <xf numFmtId="165" fontId="2" fillId="2" borderId="1" xfId="0" applyNumberFormat="1" applyFont="1" applyFill="1" applyBorder="1"/>
    <xf numFmtId="165" fontId="2" fillId="0" borderId="4" xfId="0" applyNumberFormat="1" applyFont="1" applyBorder="1"/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A633" workbookViewId="0">
      <selection activeCell="H645" sqref="H645"/>
    </sheetView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9.6640625" style="35" customWidth="1"/>
    <col min="5" max="7" width="9.1640625" style="35" customWidth="1"/>
    <col min="8" max="27" width="8.6640625" customWidth="1"/>
  </cols>
  <sheetData>
    <row r="1" spans="1:27" ht="12.75" customHeight="1" x14ac:dyDescent="0.2">
      <c r="A1" s="1" t="s">
        <v>0</v>
      </c>
      <c r="B1" s="2" t="s">
        <v>1</v>
      </c>
      <c r="C1" s="2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1</v>
      </c>
      <c r="B2" s="5">
        <v>40915</v>
      </c>
      <c r="C2" s="5">
        <v>40911</v>
      </c>
      <c r="D2" s="28">
        <v>526708.80000000005</v>
      </c>
      <c r="E2" s="28">
        <v>104.05371100000001</v>
      </c>
      <c r="F2" s="28">
        <v>40479</v>
      </c>
      <c r="G2" s="28">
        <v>67.064526999999998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2</v>
      </c>
      <c r="B3" s="5">
        <f t="shared" ref="B3:B41" si="0">+(B2)+7</f>
        <v>40922</v>
      </c>
      <c r="C3" s="5">
        <v>40918</v>
      </c>
      <c r="D3" s="28">
        <v>375276.3</v>
      </c>
      <c r="E3" s="28">
        <v>102.721242</v>
      </c>
      <c r="F3" s="28">
        <v>51478</v>
      </c>
      <c r="G3" s="28">
        <v>71.666362000000007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3</v>
      </c>
      <c r="B4" s="5">
        <f t="shared" si="0"/>
        <v>40929</v>
      </c>
      <c r="C4" s="5">
        <v>40925</v>
      </c>
      <c r="D4" s="28">
        <v>378353</v>
      </c>
      <c r="E4" s="28">
        <v>92.427882999999994</v>
      </c>
      <c r="F4" s="28">
        <v>65585</v>
      </c>
      <c r="G4" s="28">
        <v>63.390165000000003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4</v>
      </c>
      <c r="B5" s="5">
        <f t="shared" si="0"/>
        <v>40936</v>
      </c>
      <c r="C5" s="5">
        <v>40932</v>
      </c>
      <c r="D5" s="28">
        <v>351805.3</v>
      </c>
      <c r="E5" s="28">
        <v>97.912171999999998</v>
      </c>
      <c r="F5" s="28">
        <v>52315.6</v>
      </c>
      <c r="G5" s="28">
        <v>64.247282999999996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5</v>
      </c>
      <c r="B6" s="5">
        <f t="shared" si="0"/>
        <v>40943</v>
      </c>
      <c r="C6" s="5">
        <v>40939</v>
      </c>
      <c r="D6" s="28">
        <v>299845.5</v>
      </c>
      <c r="E6" s="28">
        <v>90.708769000000004</v>
      </c>
      <c r="F6" s="28">
        <v>93864</v>
      </c>
      <c r="G6" s="28">
        <v>61.092399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6</v>
      </c>
      <c r="B7" s="5">
        <f t="shared" si="0"/>
        <v>40950</v>
      </c>
      <c r="C7" s="5">
        <v>40946</v>
      </c>
      <c r="D7" s="28">
        <v>252885.35</v>
      </c>
      <c r="E7" s="28">
        <v>104.43124899999999</v>
      </c>
      <c r="F7" s="28">
        <v>35605</v>
      </c>
      <c r="G7" s="28">
        <v>63.047184000000001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7</v>
      </c>
      <c r="B8" s="5">
        <f t="shared" si="0"/>
        <v>40957</v>
      </c>
      <c r="C8" s="5">
        <v>40953</v>
      </c>
      <c r="D8" s="28">
        <v>263425.3</v>
      </c>
      <c r="E8" s="28">
        <v>102.975397</v>
      </c>
      <c r="F8" s="28">
        <v>78866</v>
      </c>
      <c r="G8" s="28">
        <v>60.800142000000001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8</v>
      </c>
      <c r="B9" s="5">
        <f t="shared" si="0"/>
        <v>40964</v>
      </c>
      <c r="C9" s="5">
        <v>40960</v>
      </c>
      <c r="D9" s="28">
        <v>137488.29999999999</v>
      </c>
      <c r="E9" s="28">
        <v>93.267685999999998</v>
      </c>
      <c r="F9" s="28">
        <v>67324</v>
      </c>
      <c r="G9" s="28">
        <v>55.913387999999998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9</v>
      </c>
      <c r="B10" s="5">
        <f t="shared" si="0"/>
        <v>40971</v>
      </c>
      <c r="C10" s="5">
        <v>40966</v>
      </c>
      <c r="D10" s="28">
        <v>127956</v>
      </c>
      <c r="E10" s="28">
        <v>92.532032000000001</v>
      </c>
      <c r="F10" s="28">
        <v>37371</v>
      </c>
      <c r="G10" s="28">
        <v>49.606887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10</v>
      </c>
      <c r="B11" s="5">
        <f t="shared" si="0"/>
        <v>40978</v>
      </c>
      <c r="C11" s="5">
        <v>40974</v>
      </c>
      <c r="D11" s="28">
        <v>130219.7</v>
      </c>
      <c r="E11" s="28">
        <v>96.699415999999999</v>
      </c>
      <c r="F11" s="28">
        <v>35763</v>
      </c>
      <c r="G11" s="28">
        <v>38.015630000000002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11</v>
      </c>
      <c r="B12" s="5">
        <f t="shared" si="0"/>
        <v>40985</v>
      </c>
      <c r="C12" s="5"/>
      <c r="D12" s="28"/>
      <c r="E12" s="28"/>
      <c r="F12" s="28"/>
      <c r="G12" s="2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12</v>
      </c>
      <c r="B13" s="5">
        <f t="shared" si="0"/>
        <v>40992</v>
      </c>
      <c r="C13" s="5"/>
      <c r="D13" s="28"/>
      <c r="E13" s="28"/>
      <c r="F13" s="28"/>
      <c r="G13" s="2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13</v>
      </c>
      <c r="B14" s="5">
        <f>+(B13)+7</f>
        <v>40999</v>
      </c>
      <c r="C14" s="5">
        <v>40995</v>
      </c>
      <c r="D14" s="28">
        <v>259803.1</v>
      </c>
      <c r="E14" s="28">
        <v>114.533844</v>
      </c>
      <c r="F14" s="28">
        <v>28503.599999999999</v>
      </c>
      <c r="G14" s="28">
        <v>48.234243999999997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14</v>
      </c>
      <c r="B15" s="5">
        <f t="shared" si="0"/>
        <v>41006</v>
      </c>
      <c r="C15" s="5">
        <v>41002</v>
      </c>
      <c r="D15" s="28">
        <v>60656.7</v>
      </c>
      <c r="E15" s="28">
        <v>90.059779000000006</v>
      </c>
      <c r="F15" s="28">
        <v>0</v>
      </c>
      <c r="G15" s="28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15</v>
      </c>
      <c r="B16" s="5">
        <f t="shared" si="0"/>
        <v>41013</v>
      </c>
      <c r="C16" s="5">
        <v>41009</v>
      </c>
      <c r="D16" s="28">
        <v>46378.1</v>
      </c>
      <c r="E16" s="28">
        <v>92.486161999999993</v>
      </c>
      <c r="F16" s="28">
        <v>0</v>
      </c>
      <c r="G16" s="28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16</v>
      </c>
      <c r="B17" s="5">
        <f t="shared" si="0"/>
        <v>41020</v>
      </c>
      <c r="C17" s="7">
        <v>41016</v>
      </c>
      <c r="D17" s="30">
        <v>88904.7</v>
      </c>
      <c r="E17" s="30">
        <v>91.085353999999995</v>
      </c>
      <c r="F17" s="31">
        <v>0</v>
      </c>
      <c r="G17" s="31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17</v>
      </c>
      <c r="B18" s="5">
        <f t="shared" si="0"/>
        <v>41027</v>
      </c>
      <c r="C18" s="7">
        <v>41023</v>
      </c>
      <c r="D18" s="29">
        <v>60089.5</v>
      </c>
      <c r="E18" s="29">
        <v>123.627859</v>
      </c>
      <c r="F18" s="29">
        <v>4668.5</v>
      </c>
      <c r="G18" s="29">
        <v>56.182541999999998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18</v>
      </c>
      <c r="B19" s="5">
        <f t="shared" si="0"/>
        <v>41034</v>
      </c>
      <c r="C19" s="7">
        <v>41031</v>
      </c>
      <c r="D19" s="29">
        <v>33077.800000000003</v>
      </c>
      <c r="E19" s="29">
        <v>157.32954100000001</v>
      </c>
      <c r="F19" s="29">
        <v>660.2</v>
      </c>
      <c r="G19" s="29">
        <v>122.626779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19</v>
      </c>
      <c r="B20" s="5">
        <f t="shared" si="0"/>
        <v>41041</v>
      </c>
      <c r="C20" s="7">
        <v>41038</v>
      </c>
      <c r="D20" s="29">
        <v>105986.3</v>
      </c>
      <c r="E20" s="29">
        <v>142.94810699999999</v>
      </c>
      <c r="F20" s="29">
        <v>21912.2</v>
      </c>
      <c r="G20" s="29">
        <v>73.687014000000005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20</v>
      </c>
      <c r="B21" s="5">
        <f t="shared" si="0"/>
        <v>41048</v>
      </c>
      <c r="C21" s="7">
        <v>41044</v>
      </c>
      <c r="D21" s="29">
        <v>95219.8</v>
      </c>
      <c r="E21" s="29">
        <v>170.61101300000001</v>
      </c>
      <c r="F21" s="29">
        <v>5909.4</v>
      </c>
      <c r="G21" s="29">
        <v>137.06173200000001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21</v>
      </c>
      <c r="B22" s="5">
        <f t="shared" si="0"/>
        <v>41055</v>
      </c>
      <c r="C22" s="7">
        <v>41051</v>
      </c>
      <c r="D22" s="29">
        <v>170277.3</v>
      </c>
      <c r="E22" s="29">
        <v>178.22386399999999</v>
      </c>
      <c r="F22" s="29">
        <v>6437.6</v>
      </c>
      <c r="G22" s="29">
        <v>138.99502899999999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22</v>
      </c>
      <c r="B23" s="5">
        <f t="shared" si="0"/>
        <v>41062</v>
      </c>
      <c r="C23" s="7">
        <v>41058</v>
      </c>
      <c r="D23" s="28">
        <v>129973.8</v>
      </c>
      <c r="E23" s="28">
        <v>183.18038000000001</v>
      </c>
      <c r="F23" s="28">
        <v>6839</v>
      </c>
      <c r="G23" s="28">
        <v>138.86805000000001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23</v>
      </c>
      <c r="B24" s="5">
        <f t="shared" si="0"/>
        <v>41069</v>
      </c>
      <c r="C24" s="5">
        <v>41065</v>
      </c>
      <c r="D24" s="28">
        <v>189198.5</v>
      </c>
      <c r="E24" s="28">
        <v>184.21324999999999</v>
      </c>
      <c r="F24" s="28">
        <v>10838.4</v>
      </c>
      <c r="G24" s="28">
        <v>146.17412100000001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24</v>
      </c>
      <c r="B25" s="5">
        <f t="shared" si="0"/>
        <v>41076</v>
      </c>
      <c r="C25" s="5">
        <v>41072</v>
      </c>
      <c r="D25" s="28">
        <v>262764.7</v>
      </c>
      <c r="E25" s="28">
        <v>177.30221900000001</v>
      </c>
      <c r="F25" s="28">
        <v>18218.7</v>
      </c>
      <c r="G25" s="28">
        <v>144.92952199999999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25</v>
      </c>
      <c r="B26" s="5">
        <f t="shared" si="0"/>
        <v>41083</v>
      </c>
      <c r="C26" s="5">
        <v>41079</v>
      </c>
      <c r="D26" s="28">
        <v>209945.9</v>
      </c>
      <c r="E26" s="28">
        <v>185.24703</v>
      </c>
      <c r="F26" s="28">
        <v>15105.6</v>
      </c>
      <c r="G26" s="28">
        <v>133.31183100000001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26</v>
      </c>
      <c r="B27" s="5">
        <f t="shared" si="0"/>
        <v>41090</v>
      </c>
      <c r="C27" s="5">
        <v>41086</v>
      </c>
      <c r="D27" s="28">
        <v>270463.71999999997</v>
      </c>
      <c r="E27" s="28">
        <v>199.911765</v>
      </c>
      <c r="F27" s="28">
        <v>8989</v>
      </c>
      <c r="G27" s="28">
        <v>135.37855099999999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27</v>
      </c>
      <c r="B28" s="5">
        <f t="shared" si="0"/>
        <v>41097</v>
      </c>
      <c r="C28" s="5">
        <f t="shared" ref="C28:C40" si="1">+(C27)+7</f>
        <v>41093</v>
      </c>
      <c r="D28" s="28">
        <v>319229.90000000002</v>
      </c>
      <c r="E28" s="28">
        <v>223.90979999999999</v>
      </c>
      <c r="F28" s="28">
        <v>15531.9</v>
      </c>
      <c r="G28" s="28">
        <v>133.08483799999999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28</v>
      </c>
      <c r="B29" s="5">
        <f t="shared" si="0"/>
        <v>41104</v>
      </c>
      <c r="C29" s="5">
        <f t="shared" si="1"/>
        <v>41100</v>
      </c>
      <c r="D29" s="28">
        <v>303881.8</v>
      </c>
      <c r="E29" s="28">
        <v>234.85179600000001</v>
      </c>
      <c r="F29" s="28">
        <v>13411.4</v>
      </c>
      <c r="G29" s="28">
        <v>124.86577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29</v>
      </c>
      <c r="B30" s="5">
        <f t="shared" si="0"/>
        <v>41111</v>
      </c>
      <c r="C30" s="5">
        <f t="shared" si="1"/>
        <v>41107</v>
      </c>
      <c r="D30" s="28">
        <v>381319.55</v>
      </c>
      <c r="E30" s="28">
        <v>240.42808299999999</v>
      </c>
      <c r="F30" s="28">
        <v>17534</v>
      </c>
      <c r="G30" s="28">
        <v>115.823303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30</v>
      </c>
      <c r="B31" s="5">
        <f t="shared" si="0"/>
        <v>41118</v>
      </c>
      <c r="C31" s="5">
        <f t="shared" si="1"/>
        <v>41114</v>
      </c>
      <c r="D31" s="28">
        <v>385431.1</v>
      </c>
      <c r="E31" s="28">
        <v>236.96173899999999</v>
      </c>
      <c r="F31" s="28">
        <v>29689.05</v>
      </c>
      <c r="G31" s="28">
        <v>124.28166899999999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31</v>
      </c>
      <c r="B32" s="5">
        <f t="shared" si="0"/>
        <v>41125</v>
      </c>
      <c r="C32" s="5">
        <f t="shared" si="1"/>
        <v>41121</v>
      </c>
      <c r="D32" s="28">
        <v>432123.2</v>
      </c>
      <c r="E32" s="28">
        <v>238.26521299999999</v>
      </c>
      <c r="F32" s="28">
        <v>15614</v>
      </c>
      <c r="G32" s="28">
        <v>131.840822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32</v>
      </c>
      <c r="B33" s="5">
        <f t="shared" si="0"/>
        <v>41132</v>
      </c>
      <c r="C33" s="5">
        <f t="shared" si="1"/>
        <v>41128</v>
      </c>
      <c r="D33" s="28">
        <v>367221.95</v>
      </c>
      <c r="E33" s="28">
        <v>243.59235699999999</v>
      </c>
      <c r="F33" s="28">
        <v>20551.8</v>
      </c>
      <c r="G33" s="28">
        <v>122.25301899999999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33</v>
      </c>
      <c r="B34" s="5">
        <f t="shared" si="0"/>
        <v>41139</v>
      </c>
      <c r="C34" s="5">
        <f t="shared" si="1"/>
        <v>41135</v>
      </c>
      <c r="D34" s="28">
        <v>352850.2</v>
      </c>
      <c r="E34" s="28">
        <v>247.56563199999999</v>
      </c>
      <c r="F34" s="28">
        <v>14508.8</v>
      </c>
      <c r="G34" s="28">
        <v>117.364082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34</v>
      </c>
      <c r="B35" s="5">
        <f t="shared" si="0"/>
        <v>41146</v>
      </c>
      <c r="C35" s="5">
        <f t="shared" si="1"/>
        <v>41142</v>
      </c>
      <c r="D35" s="28">
        <v>413444.5</v>
      </c>
      <c r="E35" s="28">
        <v>235.57165699999999</v>
      </c>
      <c r="F35" s="28">
        <v>14613.4</v>
      </c>
      <c r="G35" s="28">
        <v>137.08206100000001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35</v>
      </c>
      <c r="B36" s="5">
        <f t="shared" si="0"/>
        <v>41153</v>
      </c>
      <c r="C36" s="5">
        <f t="shared" si="1"/>
        <v>41149</v>
      </c>
      <c r="D36" s="28">
        <v>502183.3</v>
      </c>
      <c r="E36" s="28">
        <v>233.46704199999999</v>
      </c>
      <c r="F36" s="28">
        <v>37898.400000000001</v>
      </c>
      <c r="G36" s="28">
        <v>104.160059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36</v>
      </c>
      <c r="B37" s="5">
        <f t="shared" si="0"/>
        <v>41160</v>
      </c>
      <c r="C37" s="5">
        <f t="shared" si="1"/>
        <v>41156</v>
      </c>
      <c r="D37" s="28">
        <v>497007</v>
      </c>
      <c r="E37" s="28">
        <v>220.65729999999999</v>
      </c>
      <c r="F37" s="28">
        <v>38663.199999999997</v>
      </c>
      <c r="G37" s="28">
        <v>123.513273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37</v>
      </c>
      <c r="B38" s="5">
        <f t="shared" si="0"/>
        <v>41167</v>
      </c>
      <c r="C38" s="5">
        <f t="shared" si="1"/>
        <v>41163</v>
      </c>
      <c r="D38" s="28">
        <v>424821.2</v>
      </c>
      <c r="E38" s="28">
        <v>226.69574900000001</v>
      </c>
      <c r="F38" s="28">
        <v>15489.2</v>
      </c>
      <c r="G38" s="28">
        <v>123.291583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38</v>
      </c>
      <c r="B39" s="5">
        <f t="shared" si="0"/>
        <v>41174</v>
      </c>
      <c r="C39" s="5">
        <f t="shared" si="1"/>
        <v>41170</v>
      </c>
      <c r="D39" s="28">
        <v>437251.3</v>
      </c>
      <c r="E39" s="28">
        <v>211.60745399999999</v>
      </c>
      <c r="F39" s="28">
        <v>27754.400000000001</v>
      </c>
      <c r="G39" s="28">
        <v>121.885257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39</v>
      </c>
      <c r="B40" s="5">
        <f t="shared" si="0"/>
        <v>41181</v>
      </c>
      <c r="C40" s="5">
        <f t="shared" si="1"/>
        <v>41177</v>
      </c>
      <c r="D40" s="28">
        <v>362952.45</v>
      </c>
      <c r="E40" s="28">
        <v>207.22189399999999</v>
      </c>
      <c r="F40" s="28">
        <v>25674.1</v>
      </c>
      <c r="G40" s="28">
        <v>113.755263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40</v>
      </c>
      <c r="B41" s="5">
        <f t="shared" si="0"/>
        <v>41188</v>
      </c>
      <c r="C41" s="5">
        <f>+(C40)+8</f>
        <v>41185</v>
      </c>
      <c r="D41" s="28">
        <v>543819.35</v>
      </c>
      <c r="E41" s="28">
        <v>193.09872899999999</v>
      </c>
      <c r="F41" s="28">
        <v>37503.4</v>
      </c>
      <c r="G41" s="28">
        <v>107.003434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41</v>
      </c>
      <c r="B42" s="5">
        <f>+(B41)+14</f>
        <v>41202</v>
      </c>
      <c r="C42" s="5">
        <f>+(C41)+13</f>
        <v>41198</v>
      </c>
      <c r="D42" s="28">
        <v>350831.1</v>
      </c>
      <c r="E42" s="28">
        <v>179.97354100000001</v>
      </c>
      <c r="F42" s="28">
        <v>21738.6</v>
      </c>
      <c r="G42" s="28">
        <v>105.203812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42</v>
      </c>
      <c r="B43" s="5">
        <f t="shared" ref="B43:B45" si="2">+(B42)+7</f>
        <v>41209</v>
      </c>
      <c r="C43" s="5">
        <f>+(C42)+15</f>
        <v>41213</v>
      </c>
      <c r="D43" s="28">
        <v>441287.52</v>
      </c>
      <c r="E43" s="28">
        <v>178.324254</v>
      </c>
      <c r="F43" s="28">
        <v>24818.6</v>
      </c>
      <c r="G43" s="28">
        <v>94.883595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43</v>
      </c>
      <c r="B44" s="5">
        <f t="shared" si="2"/>
        <v>41216</v>
      </c>
      <c r="C44" s="5"/>
      <c r="D44" s="28"/>
      <c r="E44" s="28"/>
      <c r="F44" s="28"/>
      <c r="G44" s="2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44</v>
      </c>
      <c r="B45" s="5">
        <f t="shared" si="2"/>
        <v>41223</v>
      </c>
      <c r="C45" s="5">
        <v>41219</v>
      </c>
      <c r="D45" s="28">
        <v>374992.3</v>
      </c>
      <c r="E45" s="28">
        <v>176.04691800000001</v>
      </c>
      <c r="F45" s="28">
        <v>32155.9</v>
      </c>
      <c r="G45" s="28">
        <v>91.125162000000003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45</v>
      </c>
      <c r="B46" s="7"/>
      <c r="C46" s="11"/>
      <c r="D46" s="30"/>
      <c r="E46" s="30"/>
      <c r="F46" s="30"/>
      <c r="G46" s="3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46</v>
      </c>
      <c r="B47" s="5">
        <f>+(B45)+7</f>
        <v>41230</v>
      </c>
      <c r="C47" s="5">
        <v>41228</v>
      </c>
      <c r="D47" s="28">
        <v>525209.4</v>
      </c>
      <c r="E47" s="28">
        <v>174.302558</v>
      </c>
      <c r="F47" s="28">
        <v>40237.800000000003</v>
      </c>
      <c r="G47" s="28">
        <v>99.914269000000004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47</v>
      </c>
      <c r="B48" s="5">
        <v>41237</v>
      </c>
      <c r="C48" s="5">
        <v>41234</v>
      </c>
      <c r="D48" s="28">
        <v>433257.55</v>
      </c>
      <c r="E48" s="28">
        <v>178.670557</v>
      </c>
      <c r="F48" s="28">
        <v>33310.300000000003</v>
      </c>
      <c r="G48" s="28">
        <v>101.685559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48</v>
      </c>
      <c r="B49" s="5">
        <v>41244</v>
      </c>
      <c r="C49" s="5">
        <v>41240</v>
      </c>
      <c r="D49" s="28">
        <v>701052.15</v>
      </c>
      <c r="E49" s="28">
        <v>182.10895300000001</v>
      </c>
      <c r="F49" s="28">
        <v>42972.1</v>
      </c>
      <c r="G49" s="28">
        <v>104.88929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49</v>
      </c>
      <c r="B50" s="5">
        <v>41251</v>
      </c>
      <c r="C50" s="5">
        <v>41247</v>
      </c>
      <c r="D50" s="28">
        <v>580081</v>
      </c>
      <c r="E50" s="28">
        <v>189.65615399999999</v>
      </c>
      <c r="F50" s="28">
        <v>37473.800000000003</v>
      </c>
      <c r="G50" s="28">
        <v>95.685316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50</v>
      </c>
      <c r="B51" s="5">
        <v>41258</v>
      </c>
      <c r="C51" s="5">
        <v>41254</v>
      </c>
      <c r="D51" s="28">
        <v>358247.65</v>
      </c>
      <c r="E51" s="28">
        <v>173.817216</v>
      </c>
      <c r="F51" s="28">
        <v>22659.200000000001</v>
      </c>
      <c r="G51" s="28">
        <v>101.440792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51</v>
      </c>
      <c r="B52" s="5">
        <v>41265</v>
      </c>
      <c r="C52" s="5">
        <v>41261</v>
      </c>
      <c r="D52" s="28">
        <v>399508.8</v>
      </c>
      <c r="E52" s="28">
        <v>177.18278699999999</v>
      </c>
      <c r="F52" s="28">
        <v>38265.199999999997</v>
      </c>
      <c r="G52" s="28">
        <v>104.779794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4">
        <v>52</v>
      </c>
      <c r="B53" s="5">
        <v>41272</v>
      </c>
      <c r="C53" s="5">
        <v>41270</v>
      </c>
      <c r="D53" s="28">
        <v>353633.04</v>
      </c>
      <c r="E53" s="28">
        <v>168.84361699999999</v>
      </c>
      <c r="F53" s="28">
        <v>16774.2</v>
      </c>
      <c r="G53" s="28">
        <v>106.37992800000001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4">
        <v>1</v>
      </c>
      <c r="B54" s="5">
        <v>41279</v>
      </c>
      <c r="C54" s="5">
        <v>41276</v>
      </c>
      <c r="D54" s="28">
        <v>261241.7</v>
      </c>
      <c r="E54" s="28">
        <v>169.77489600000001</v>
      </c>
      <c r="F54" s="28">
        <v>28657.200000000001</v>
      </c>
      <c r="G54" s="28">
        <v>110.18315800000001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4">
        <v>2</v>
      </c>
      <c r="B55" s="5">
        <v>41286</v>
      </c>
      <c r="C55" s="5">
        <v>41282</v>
      </c>
      <c r="D55" s="28">
        <v>250189.52</v>
      </c>
      <c r="E55" s="28">
        <v>171.96699899999999</v>
      </c>
      <c r="F55" s="28">
        <v>19836.900000000001</v>
      </c>
      <c r="G55" s="28">
        <v>107.104603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4">
        <v>3</v>
      </c>
      <c r="B56" s="5">
        <v>41293</v>
      </c>
      <c r="C56" s="5">
        <v>41289</v>
      </c>
      <c r="D56" s="28">
        <v>317422.09999999998</v>
      </c>
      <c r="E56" s="28">
        <v>167.93346299999999</v>
      </c>
      <c r="F56" s="28">
        <v>35541.5</v>
      </c>
      <c r="G56" s="28">
        <v>109.012807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4">
        <v>4</v>
      </c>
      <c r="B57" s="5">
        <v>41300</v>
      </c>
      <c r="C57" s="5">
        <v>41296</v>
      </c>
      <c r="D57" s="28">
        <v>172268.1</v>
      </c>
      <c r="E57" s="28">
        <v>168.86059700000001</v>
      </c>
      <c r="F57" s="28">
        <v>30338.9</v>
      </c>
      <c r="G57" s="28">
        <v>106.883413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4">
        <v>5</v>
      </c>
      <c r="B58" s="5">
        <v>41307</v>
      </c>
      <c r="C58" s="5">
        <v>41303</v>
      </c>
      <c r="D58" s="28">
        <v>176009.60000000001</v>
      </c>
      <c r="E58" s="28">
        <v>169.828407</v>
      </c>
      <c r="F58" s="28">
        <v>48409.3</v>
      </c>
      <c r="G58" s="28">
        <v>109.394023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4">
        <v>6</v>
      </c>
      <c r="B59" s="5">
        <v>41314</v>
      </c>
      <c r="C59" s="5">
        <v>41310</v>
      </c>
      <c r="D59" s="28">
        <v>120224.8</v>
      </c>
      <c r="E59" s="28">
        <v>145.51625899999999</v>
      </c>
      <c r="F59" s="28">
        <v>37320.199999999997</v>
      </c>
      <c r="G59" s="28">
        <v>107.559112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4">
        <v>7</v>
      </c>
      <c r="B60" s="5">
        <v>41321</v>
      </c>
      <c r="C60" s="5">
        <v>41317</v>
      </c>
      <c r="D60" s="28">
        <v>102742.2</v>
      </c>
      <c r="E60" s="28">
        <v>150.65521000000001</v>
      </c>
      <c r="F60" s="28">
        <v>34394.5</v>
      </c>
      <c r="G60" s="28">
        <v>103.752876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4">
        <v>8</v>
      </c>
      <c r="B61" s="5">
        <v>41328</v>
      </c>
      <c r="C61" s="5">
        <v>41324</v>
      </c>
      <c r="D61" s="28">
        <v>62816.3</v>
      </c>
      <c r="E61" s="28">
        <v>150.720157</v>
      </c>
      <c r="F61" s="28">
        <v>24598.799999999999</v>
      </c>
      <c r="G61" s="28">
        <v>99.085248000000007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4">
        <v>9</v>
      </c>
      <c r="B62" s="5">
        <v>41335</v>
      </c>
      <c r="C62" s="5">
        <v>41331</v>
      </c>
      <c r="D62" s="28">
        <v>149651.79999999999</v>
      </c>
      <c r="E62" s="28">
        <v>192.99996100000001</v>
      </c>
      <c r="F62" s="28">
        <v>12870.4</v>
      </c>
      <c r="G62" s="28">
        <v>101.587176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4">
        <v>10</v>
      </c>
      <c r="B63" s="5">
        <v>41342</v>
      </c>
      <c r="C63" s="5">
        <v>41338</v>
      </c>
      <c r="D63" s="28">
        <v>0</v>
      </c>
      <c r="E63" s="28">
        <v>0</v>
      </c>
      <c r="F63" s="28">
        <v>950.4</v>
      </c>
      <c r="G63" s="28">
        <v>60.418981000000002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4">
        <v>11</v>
      </c>
      <c r="B64" s="5">
        <v>41349</v>
      </c>
      <c r="C64" s="5"/>
      <c r="D64" s="28">
        <v>0</v>
      </c>
      <c r="E64" s="28">
        <v>0</v>
      </c>
      <c r="F64" s="28">
        <v>0</v>
      </c>
      <c r="G64" s="28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4">
        <v>12</v>
      </c>
      <c r="B65" s="5">
        <v>41356</v>
      </c>
      <c r="C65" s="5">
        <v>41352</v>
      </c>
      <c r="D65" s="28">
        <v>73580.56</v>
      </c>
      <c r="E65" s="28">
        <v>141.49472</v>
      </c>
      <c r="F65" s="28">
        <v>395.2</v>
      </c>
      <c r="G65" s="28">
        <v>61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4">
        <v>13</v>
      </c>
      <c r="B66" s="5">
        <v>41363</v>
      </c>
      <c r="C66" s="5"/>
      <c r="D66" s="28">
        <v>0</v>
      </c>
      <c r="E66" s="28">
        <v>0</v>
      </c>
      <c r="F66" s="28">
        <v>0</v>
      </c>
      <c r="G66" s="28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4">
        <v>14</v>
      </c>
      <c r="B67" s="5">
        <v>41370</v>
      </c>
      <c r="C67" s="5">
        <v>41366</v>
      </c>
      <c r="D67" s="28">
        <v>22340.3</v>
      </c>
      <c r="E67" s="28">
        <v>148.132755</v>
      </c>
      <c r="F67" s="28">
        <v>0</v>
      </c>
      <c r="G67" s="28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4">
        <v>15</v>
      </c>
      <c r="B68" s="5">
        <v>41377</v>
      </c>
      <c r="C68" s="5">
        <v>41373</v>
      </c>
      <c r="D68" s="28">
        <v>32181.9</v>
      </c>
      <c r="E68" s="28">
        <v>127.206883</v>
      </c>
      <c r="F68" s="28">
        <v>0</v>
      </c>
      <c r="G68" s="28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4">
        <v>16</v>
      </c>
      <c r="B69" s="5">
        <v>41384</v>
      </c>
      <c r="C69" s="5">
        <v>41380</v>
      </c>
      <c r="D69" s="30">
        <v>35897.199999999997</v>
      </c>
      <c r="E69" s="30">
        <v>181.98674500000001</v>
      </c>
      <c r="F69" s="31">
        <v>277.60000000000002</v>
      </c>
      <c r="G69" s="31">
        <v>131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4">
        <v>17</v>
      </c>
      <c r="B70" s="5">
        <v>41391</v>
      </c>
      <c r="C70" s="7">
        <v>41387</v>
      </c>
      <c r="D70" s="29">
        <v>105247.2</v>
      </c>
      <c r="E70" s="29">
        <v>207.154628</v>
      </c>
      <c r="F70" s="29">
        <v>4098.3</v>
      </c>
      <c r="G70" s="29">
        <v>128.744845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4">
        <v>18</v>
      </c>
      <c r="B71" s="5">
        <v>41398</v>
      </c>
      <c r="C71" s="7">
        <v>41394</v>
      </c>
      <c r="D71" s="29">
        <v>140121.26</v>
      </c>
      <c r="E71" s="29">
        <v>224.32091399999999</v>
      </c>
      <c r="F71" s="29">
        <v>5438.3</v>
      </c>
      <c r="G71" s="29">
        <v>128.87479500000001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4">
        <v>19</v>
      </c>
      <c r="B72" s="5">
        <v>41405</v>
      </c>
      <c r="C72" s="5">
        <v>41401</v>
      </c>
      <c r="D72" s="29">
        <v>274711</v>
      </c>
      <c r="E72" s="29">
        <v>226.92842300000001</v>
      </c>
      <c r="F72" s="29">
        <v>9894</v>
      </c>
      <c r="G72" s="29">
        <v>115.078653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4">
        <v>20</v>
      </c>
      <c r="B73" s="5">
        <v>41412</v>
      </c>
      <c r="C73" s="5">
        <v>41408</v>
      </c>
      <c r="D73" s="29">
        <v>388887.5</v>
      </c>
      <c r="E73" s="29">
        <v>216.66170299999999</v>
      </c>
      <c r="F73" s="29">
        <v>21901.599999999999</v>
      </c>
      <c r="G73" s="29">
        <v>121.833792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4">
        <v>21</v>
      </c>
      <c r="B74" s="5">
        <v>41419</v>
      </c>
      <c r="C74" s="5">
        <v>41415</v>
      </c>
      <c r="D74" s="29">
        <v>377755.38</v>
      </c>
      <c r="E74" s="29">
        <v>228.581436</v>
      </c>
      <c r="F74" s="29">
        <v>18165.7</v>
      </c>
      <c r="G74" s="29">
        <v>114.784616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4">
        <v>22</v>
      </c>
      <c r="B75" s="5">
        <v>41426</v>
      </c>
      <c r="C75" s="5">
        <v>41422</v>
      </c>
      <c r="D75" s="28">
        <v>496169.55</v>
      </c>
      <c r="E75" s="28">
        <v>211.82120800000001</v>
      </c>
      <c r="F75" s="28">
        <v>28959.599999999999</v>
      </c>
      <c r="G75" s="28">
        <v>116.61024999999999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4">
        <v>23</v>
      </c>
      <c r="B76" s="5">
        <v>41433</v>
      </c>
      <c r="C76" s="5">
        <v>41429</v>
      </c>
      <c r="D76" s="28">
        <v>335049.7</v>
      </c>
      <c r="E76" s="28">
        <v>210.88201599999999</v>
      </c>
      <c r="F76" s="28">
        <v>24327.200000000001</v>
      </c>
      <c r="G76" s="28">
        <v>115.05440400000001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4">
        <v>24</v>
      </c>
      <c r="B77" s="5">
        <v>41440</v>
      </c>
      <c r="C77" s="5">
        <v>41436</v>
      </c>
      <c r="D77" s="28">
        <v>462747.3</v>
      </c>
      <c r="E77" s="28">
        <v>221.65489299999999</v>
      </c>
      <c r="F77" s="28">
        <v>31270</v>
      </c>
      <c r="G77" s="28">
        <v>113.72659400000001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4">
        <v>25</v>
      </c>
      <c r="B78" s="5">
        <v>41447</v>
      </c>
      <c r="C78" s="5">
        <v>41443</v>
      </c>
      <c r="D78" s="28">
        <v>492346.7</v>
      </c>
      <c r="E78" s="28">
        <v>241.40853999999999</v>
      </c>
      <c r="F78" s="28">
        <v>48435.3</v>
      </c>
      <c r="G78" s="28">
        <v>112.566731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4">
        <v>26</v>
      </c>
      <c r="B79" s="5">
        <v>41454</v>
      </c>
      <c r="C79" s="5">
        <v>41450</v>
      </c>
      <c r="D79" s="28">
        <v>555400.4</v>
      </c>
      <c r="E79" s="28">
        <v>255.630233</v>
      </c>
      <c r="F79" s="28">
        <v>49381.7</v>
      </c>
      <c r="G79" s="28">
        <v>113.851246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4">
        <v>27</v>
      </c>
      <c r="B80" s="5">
        <v>41461</v>
      </c>
      <c r="C80" s="5">
        <v>41457</v>
      </c>
      <c r="D80" s="28">
        <v>596870.85</v>
      </c>
      <c r="E80" s="28">
        <v>257.95628099999999</v>
      </c>
      <c r="F80" s="28">
        <v>38514.33</v>
      </c>
      <c r="G80" s="28">
        <v>120.671302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4">
        <v>28</v>
      </c>
      <c r="B81" s="5">
        <v>41468</v>
      </c>
      <c r="C81" s="5">
        <v>41464</v>
      </c>
      <c r="D81" s="28">
        <v>562520.94999999995</v>
      </c>
      <c r="E81" s="28">
        <v>253.81964300000001</v>
      </c>
      <c r="F81" s="28">
        <v>33738.050000000003</v>
      </c>
      <c r="G81" s="28">
        <v>121.41868100000001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4">
        <v>29</v>
      </c>
      <c r="B82" s="5">
        <v>41475</v>
      </c>
      <c r="C82" s="5">
        <v>41471</v>
      </c>
      <c r="D82" s="28">
        <v>570236.43999999994</v>
      </c>
      <c r="E82" s="28">
        <v>237.45011400000001</v>
      </c>
      <c r="F82" s="28">
        <v>42166.7</v>
      </c>
      <c r="G82" s="28">
        <v>117.809815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4">
        <v>30</v>
      </c>
      <c r="B83" s="5">
        <v>41482</v>
      </c>
      <c r="C83" s="5">
        <v>41478</v>
      </c>
      <c r="D83" s="28">
        <v>675801.7</v>
      </c>
      <c r="E83" s="28">
        <v>225.135684</v>
      </c>
      <c r="F83" s="28">
        <v>60383.1</v>
      </c>
      <c r="G83" s="28">
        <v>100.343054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4">
        <v>31</v>
      </c>
      <c r="B84" s="5">
        <v>41489</v>
      </c>
      <c r="C84" s="5">
        <v>41485</v>
      </c>
      <c r="D84" s="28">
        <v>777950.65</v>
      </c>
      <c r="E84" s="28">
        <v>221.37685400000001</v>
      </c>
      <c r="F84" s="28">
        <v>72477.8</v>
      </c>
      <c r="G84" s="28">
        <v>101.36295800000001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4">
        <v>32</v>
      </c>
      <c r="B85" s="5">
        <v>41496</v>
      </c>
      <c r="C85" s="5">
        <v>41492</v>
      </c>
      <c r="D85" s="28">
        <v>728995.6</v>
      </c>
      <c r="E85" s="28">
        <v>221.145399</v>
      </c>
      <c r="F85" s="28">
        <v>48092.55</v>
      </c>
      <c r="G85" s="28">
        <v>99.762244999999993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4">
        <v>33</v>
      </c>
      <c r="B86" s="5">
        <v>41503</v>
      </c>
      <c r="C86" s="5">
        <v>41499</v>
      </c>
      <c r="D86" s="28">
        <v>733334.05</v>
      </c>
      <c r="E86" s="28">
        <v>224.02789100000001</v>
      </c>
      <c r="F86" s="28">
        <v>58654</v>
      </c>
      <c r="G86" s="28">
        <v>103.99831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4">
        <v>34</v>
      </c>
      <c r="B87" s="5">
        <v>41510</v>
      </c>
      <c r="C87" s="5">
        <v>41506</v>
      </c>
      <c r="D87" s="28">
        <v>647124.19999999995</v>
      </c>
      <c r="E87" s="28">
        <v>226.272761</v>
      </c>
      <c r="F87" s="28">
        <v>47776.65</v>
      </c>
      <c r="G87" s="28">
        <v>101.853005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4">
        <v>35</v>
      </c>
      <c r="B88" s="5">
        <v>41517</v>
      </c>
      <c r="C88" s="5">
        <v>41513</v>
      </c>
      <c r="D88" s="28">
        <v>725458.7</v>
      </c>
      <c r="E88" s="28">
        <v>227.68291600000001</v>
      </c>
      <c r="F88" s="28">
        <v>54111.75</v>
      </c>
      <c r="G88" s="28">
        <v>101.925843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4">
        <v>36</v>
      </c>
      <c r="B89" s="5">
        <v>41524</v>
      </c>
      <c r="C89" s="5">
        <v>41520</v>
      </c>
      <c r="D89" s="28">
        <v>784619.05</v>
      </c>
      <c r="E89" s="28">
        <v>216.84736699999999</v>
      </c>
      <c r="F89" s="28">
        <v>65779.899999999994</v>
      </c>
      <c r="G89" s="28">
        <v>98.797996999999995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4">
        <v>37</v>
      </c>
      <c r="B90" s="5">
        <v>41531</v>
      </c>
      <c r="C90" s="5">
        <v>41527</v>
      </c>
      <c r="D90" s="28">
        <v>644166.05000000005</v>
      </c>
      <c r="E90" s="28">
        <v>225.61103199999999</v>
      </c>
      <c r="F90" s="28">
        <v>47866.2</v>
      </c>
      <c r="G90" s="28">
        <v>105.66545000000001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4">
        <v>38</v>
      </c>
      <c r="B91" s="5">
        <v>41538</v>
      </c>
      <c r="C91" s="5">
        <v>41534</v>
      </c>
      <c r="D91" s="28">
        <v>689955.9</v>
      </c>
      <c r="E91" s="28">
        <v>212.65008599999999</v>
      </c>
      <c r="F91" s="28">
        <v>56727.15</v>
      </c>
      <c r="G91" s="28">
        <v>101.497559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4">
        <v>39</v>
      </c>
      <c r="B92" s="5">
        <v>41545</v>
      </c>
      <c r="C92" s="5">
        <v>41541</v>
      </c>
      <c r="D92" s="28">
        <v>666793.34</v>
      </c>
      <c r="E92" s="28">
        <v>205.47881699999999</v>
      </c>
      <c r="F92" s="28">
        <v>59729.55</v>
      </c>
      <c r="G92" s="28">
        <v>104.130627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4">
        <v>40</v>
      </c>
      <c r="B93" s="5">
        <v>41552</v>
      </c>
      <c r="C93" s="5">
        <v>41547</v>
      </c>
      <c r="D93" s="28">
        <v>566279.35</v>
      </c>
      <c r="E93" s="28">
        <v>205.74073999999999</v>
      </c>
      <c r="F93" s="28">
        <v>30338.400000000001</v>
      </c>
      <c r="G93" s="28">
        <v>94.955866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4">
        <v>41</v>
      </c>
      <c r="B94" s="5">
        <v>41559</v>
      </c>
      <c r="C94" s="5">
        <v>41555</v>
      </c>
      <c r="D94" s="28">
        <v>563081.87</v>
      </c>
      <c r="E94" s="28">
        <v>205.95217700000001</v>
      </c>
      <c r="F94" s="28">
        <v>38529.65</v>
      </c>
      <c r="G94" s="28">
        <v>95.821893000000003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4">
        <v>42</v>
      </c>
      <c r="B95" s="5">
        <v>41566</v>
      </c>
      <c r="C95" s="5"/>
      <c r="D95" s="28">
        <v>0</v>
      </c>
      <c r="E95" s="28">
        <v>0</v>
      </c>
      <c r="F95" s="28">
        <v>0</v>
      </c>
      <c r="G95" s="28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4">
        <v>43</v>
      </c>
      <c r="B96" s="5">
        <v>41573</v>
      </c>
      <c r="C96" s="5">
        <v>41569</v>
      </c>
      <c r="D96" s="28">
        <v>741743.82</v>
      </c>
      <c r="E96" s="28">
        <v>197.50017700000001</v>
      </c>
      <c r="F96" s="28">
        <v>61594.15</v>
      </c>
      <c r="G96" s="28">
        <v>93.200622999999993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4">
        <v>44</v>
      </c>
      <c r="B97" s="5">
        <v>41580</v>
      </c>
      <c r="C97" s="5">
        <v>41576</v>
      </c>
      <c r="D97" s="28">
        <v>591116.65</v>
      </c>
      <c r="E97" s="28">
        <v>194.74094400000001</v>
      </c>
      <c r="F97" s="28">
        <v>83491.199999999997</v>
      </c>
      <c r="G97" s="28">
        <v>95.134826000000004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4">
        <v>45</v>
      </c>
      <c r="B98" s="5">
        <v>41587</v>
      </c>
      <c r="C98" s="5">
        <v>41583</v>
      </c>
      <c r="D98" s="30">
        <v>763797.85</v>
      </c>
      <c r="E98" s="30">
        <v>182.175735</v>
      </c>
      <c r="F98" s="30">
        <v>68799.5</v>
      </c>
      <c r="G98" s="30">
        <v>90.242485000000002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4">
        <v>46</v>
      </c>
      <c r="B99" s="5">
        <v>41594</v>
      </c>
      <c r="C99" s="5">
        <v>41590</v>
      </c>
      <c r="D99" s="28">
        <v>787163.6</v>
      </c>
      <c r="E99" s="28">
        <v>182.06344899999999</v>
      </c>
      <c r="F99" s="28">
        <v>44814.65</v>
      </c>
      <c r="G99" s="28">
        <v>92.866968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4">
        <v>47</v>
      </c>
      <c r="B100" s="5">
        <v>41601</v>
      </c>
      <c r="C100" s="5">
        <v>41597</v>
      </c>
      <c r="D100" s="28">
        <v>803831.05</v>
      </c>
      <c r="E100" s="28">
        <v>177.28327200000001</v>
      </c>
      <c r="F100" s="28">
        <v>61606.45</v>
      </c>
      <c r="G100" s="28">
        <v>83.624521000000001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4">
        <v>48</v>
      </c>
      <c r="B101" s="5">
        <v>41608</v>
      </c>
      <c r="C101" s="5">
        <v>41604</v>
      </c>
      <c r="D101" s="28">
        <v>515833.35</v>
      </c>
      <c r="E101" s="28">
        <v>183.74718799999999</v>
      </c>
      <c r="F101" s="28">
        <v>60985.8</v>
      </c>
      <c r="G101" s="28">
        <v>89.670086999999995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4">
        <v>49</v>
      </c>
      <c r="B102" s="5">
        <v>41615</v>
      </c>
      <c r="C102" s="5">
        <v>41611</v>
      </c>
      <c r="D102" s="28">
        <v>750778.25</v>
      </c>
      <c r="E102" s="28">
        <v>172.82994500000001</v>
      </c>
      <c r="F102" s="28">
        <v>50100.15</v>
      </c>
      <c r="G102" s="28">
        <v>84.545494000000005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4">
        <v>50</v>
      </c>
      <c r="B103" s="5">
        <v>41622</v>
      </c>
      <c r="C103" s="5">
        <v>41618</v>
      </c>
      <c r="D103" s="28">
        <v>766385.35</v>
      </c>
      <c r="E103" s="28">
        <v>164.94332199999999</v>
      </c>
      <c r="F103" s="28">
        <v>45389.55</v>
      </c>
      <c r="G103" s="28">
        <v>77.219727000000006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4">
        <v>51</v>
      </c>
      <c r="B104" s="5">
        <v>41629</v>
      </c>
      <c r="C104" s="5">
        <v>41625</v>
      </c>
      <c r="D104" s="28">
        <v>556379.85</v>
      </c>
      <c r="E104" s="28">
        <v>163.31461100000001</v>
      </c>
      <c r="F104" s="28">
        <v>58002</v>
      </c>
      <c r="G104" s="28">
        <v>79.549323000000001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4">
        <v>52</v>
      </c>
      <c r="B105" s="5">
        <v>41636</v>
      </c>
      <c r="C105" s="5">
        <v>41632</v>
      </c>
      <c r="D105" s="28">
        <v>610661</v>
      </c>
      <c r="E105" s="28">
        <v>153.58292599999999</v>
      </c>
      <c r="F105" s="28">
        <v>62330.75</v>
      </c>
      <c r="G105" s="28">
        <v>86.196540999999996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4">
        <v>1</v>
      </c>
      <c r="B106" s="5">
        <v>41643</v>
      </c>
      <c r="C106" s="5">
        <v>41640</v>
      </c>
      <c r="D106" s="28">
        <v>412114.8</v>
      </c>
      <c r="E106" s="28">
        <v>141.71807200000001</v>
      </c>
      <c r="F106" s="28">
        <v>58152.85</v>
      </c>
      <c r="G106" s="28">
        <v>87.756979999999999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4">
        <v>2</v>
      </c>
      <c r="B107" s="5">
        <v>41650</v>
      </c>
      <c r="C107" s="5">
        <v>41646</v>
      </c>
      <c r="D107" s="28">
        <v>403513.1</v>
      </c>
      <c r="E107" s="28">
        <v>133.78424699999999</v>
      </c>
      <c r="F107" s="28">
        <v>47379.15</v>
      </c>
      <c r="G107" s="28">
        <v>90.947475999999995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4">
        <v>3</v>
      </c>
      <c r="B108" s="5">
        <v>41657</v>
      </c>
      <c r="C108" s="5">
        <v>41653</v>
      </c>
      <c r="D108" s="28">
        <v>394018.04</v>
      </c>
      <c r="E108" s="28">
        <v>135.71713800000001</v>
      </c>
      <c r="F108" s="28">
        <v>74467</v>
      </c>
      <c r="G108" s="28">
        <v>81.269578999999993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4">
        <v>4</v>
      </c>
      <c r="B109" s="5">
        <v>41664</v>
      </c>
      <c r="C109" s="5">
        <v>41660</v>
      </c>
      <c r="D109" s="28">
        <v>364841.3</v>
      </c>
      <c r="E109" s="28">
        <v>122.922256</v>
      </c>
      <c r="F109" s="28">
        <v>43031.25</v>
      </c>
      <c r="G109" s="28">
        <v>73.014021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4">
        <v>5</v>
      </c>
      <c r="B110" s="5">
        <v>41671</v>
      </c>
      <c r="C110" s="5">
        <v>41667</v>
      </c>
      <c r="D110" s="28">
        <v>372612.6</v>
      </c>
      <c r="E110" s="28">
        <v>116.92671799999999</v>
      </c>
      <c r="F110" s="28">
        <v>34448</v>
      </c>
      <c r="G110" s="28">
        <v>87.102326000000005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4">
        <v>6</v>
      </c>
      <c r="B111" s="5">
        <v>41678</v>
      </c>
      <c r="C111" s="5">
        <v>41675</v>
      </c>
      <c r="D111" s="28">
        <v>281591.40000000002</v>
      </c>
      <c r="E111" s="28">
        <v>133.87098599999999</v>
      </c>
      <c r="F111" s="28">
        <v>29054.7</v>
      </c>
      <c r="G111" s="28">
        <v>78.852288000000001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4">
        <v>7</v>
      </c>
      <c r="B112" s="5">
        <v>41685</v>
      </c>
      <c r="C112" s="5">
        <v>41681</v>
      </c>
      <c r="D112" s="28">
        <v>116381.15</v>
      </c>
      <c r="E112" s="28">
        <v>120.528159</v>
      </c>
      <c r="F112" s="28">
        <v>17940.900000000001</v>
      </c>
      <c r="G112" s="28">
        <v>91.477031999999994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4">
        <v>8</v>
      </c>
      <c r="B113" s="5">
        <v>41692</v>
      </c>
      <c r="C113" s="5">
        <v>41688</v>
      </c>
      <c r="D113" s="28">
        <v>106850.61</v>
      </c>
      <c r="E113" s="28">
        <v>114.094285</v>
      </c>
      <c r="F113" s="28">
        <v>6690.35</v>
      </c>
      <c r="G113" s="28">
        <v>65.929704000000001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4">
        <v>9</v>
      </c>
      <c r="B114" s="5">
        <v>41699</v>
      </c>
      <c r="C114" s="5"/>
      <c r="D114" s="28">
        <v>0</v>
      </c>
      <c r="E114" s="28">
        <v>0</v>
      </c>
      <c r="F114" s="28">
        <v>0</v>
      </c>
      <c r="G114" s="28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4">
        <v>10</v>
      </c>
      <c r="B115" s="5">
        <v>41706</v>
      </c>
      <c r="C115" s="5">
        <v>41702</v>
      </c>
      <c r="D115" s="28">
        <v>153254.39999999999</v>
      </c>
      <c r="E115" s="28">
        <v>124.229921</v>
      </c>
      <c r="F115" s="28">
        <v>13900.95</v>
      </c>
      <c r="G115" s="28">
        <v>87.945676000000006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4">
        <v>11</v>
      </c>
      <c r="B116" s="5">
        <v>41713</v>
      </c>
      <c r="C116" s="5"/>
      <c r="D116" s="28">
        <v>0</v>
      </c>
      <c r="E116" s="28">
        <v>0</v>
      </c>
      <c r="F116" s="28">
        <v>0</v>
      </c>
      <c r="G116" s="28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4">
        <v>12</v>
      </c>
      <c r="B117" s="5">
        <v>41720</v>
      </c>
      <c r="C117" s="5"/>
      <c r="D117" s="28">
        <v>0</v>
      </c>
      <c r="E117" s="28">
        <v>0</v>
      </c>
      <c r="F117" s="28">
        <v>0</v>
      </c>
      <c r="G117" s="28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4">
        <v>13</v>
      </c>
      <c r="B118" s="5">
        <v>41727</v>
      </c>
      <c r="C118" s="5">
        <v>41723</v>
      </c>
      <c r="D118" s="28">
        <v>144752.1</v>
      </c>
      <c r="E118" s="28">
        <v>147.71332899999999</v>
      </c>
      <c r="F118" s="28">
        <v>9897.0499999999993</v>
      </c>
      <c r="G118" s="28">
        <v>76.803799999999995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4">
        <v>14</v>
      </c>
      <c r="B119" s="5">
        <v>41734</v>
      </c>
      <c r="C119" s="5">
        <v>41731</v>
      </c>
      <c r="D119" s="28">
        <v>38549</v>
      </c>
      <c r="E119" s="28">
        <v>165.655192</v>
      </c>
      <c r="F119" s="28">
        <v>1350</v>
      </c>
      <c r="G119" s="28">
        <v>72.666666000000006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4">
        <v>15</v>
      </c>
      <c r="B120" s="5">
        <v>41741</v>
      </c>
      <c r="C120" s="5">
        <v>41738</v>
      </c>
      <c r="D120" s="28">
        <v>5750.45</v>
      </c>
      <c r="E120" s="28">
        <v>172.43036599999999</v>
      </c>
      <c r="F120" s="28">
        <v>452.35</v>
      </c>
      <c r="G120" s="28">
        <v>120.806676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4">
        <v>16</v>
      </c>
      <c r="B121" s="5">
        <v>41748</v>
      </c>
      <c r="C121" s="5">
        <v>41746</v>
      </c>
      <c r="D121" s="30">
        <v>50902.3</v>
      </c>
      <c r="E121" s="30">
        <v>187.40105700000001</v>
      </c>
      <c r="F121" s="31">
        <v>626.79999999999995</v>
      </c>
      <c r="G121" s="31">
        <v>109.55887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4">
        <v>17</v>
      </c>
      <c r="B122" s="5">
        <v>41755</v>
      </c>
      <c r="C122" s="5">
        <v>41751</v>
      </c>
      <c r="D122" s="29">
        <v>82420.67</v>
      </c>
      <c r="E122" s="29">
        <v>208.52648300000001</v>
      </c>
      <c r="F122" s="29">
        <v>4840.7</v>
      </c>
      <c r="G122" s="29">
        <v>120.032887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4">
        <v>18</v>
      </c>
      <c r="B123" s="5">
        <v>41762</v>
      </c>
      <c r="C123" s="5">
        <v>41758</v>
      </c>
      <c r="D123" s="29">
        <v>155156.6</v>
      </c>
      <c r="E123" s="29">
        <v>214.22410199999999</v>
      </c>
      <c r="F123" s="29">
        <v>9749.35</v>
      </c>
      <c r="G123" s="29">
        <v>109.553308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4">
        <v>19</v>
      </c>
      <c r="B124" s="5">
        <v>41769</v>
      </c>
      <c r="C124" s="5">
        <v>41765</v>
      </c>
      <c r="D124" s="29">
        <v>233877.85</v>
      </c>
      <c r="E124" s="29">
        <v>200.04406</v>
      </c>
      <c r="F124" s="29">
        <v>21880.1</v>
      </c>
      <c r="G124" s="29">
        <v>126.519369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4">
        <v>20</v>
      </c>
      <c r="B125" s="5">
        <v>41776</v>
      </c>
      <c r="C125" s="5">
        <v>41773</v>
      </c>
      <c r="D125" s="29">
        <v>274764.18</v>
      </c>
      <c r="E125" s="29">
        <v>184.55852400000001</v>
      </c>
      <c r="F125" s="29">
        <v>22604.65</v>
      </c>
      <c r="G125" s="29">
        <v>126.903307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4">
        <v>21</v>
      </c>
      <c r="B126" s="5">
        <v>41783</v>
      </c>
      <c r="C126" s="5">
        <v>41779</v>
      </c>
      <c r="D126" s="29">
        <v>200970.5</v>
      </c>
      <c r="E126" s="29">
        <v>176.82672400000001</v>
      </c>
      <c r="F126" s="29">
        <v>20362.75</v>
      </c>
      <c r="G126" s="29">
        <v>129.50864899999999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4">
        <v>22</v>
      </c>
      <c r="B127" s="5">
        <v>41790</v>
      </c>
      <c r="C127" s="5">
        <v>41786</v>
      </c>
      <c r="D127" s="28">
        <v>262699.98</v>
      </c>
      <c r="E127" s="28">
        <v>172.85859300000001</v>
      </c>
      <c r="F127" s="28">
        <v>29514.65</v>
      </c>
      <c r="G127" s="28">
        <v>131.80020400000001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4">
        <v>23</v>
      </c>
      <c r="B128" s="5">
        <v>41797</v>
      </c>
      <c r="C128" s="5">
        <v>41793</v>
      </c>
      <c r="D128" s="28">
        <v>243694.3</v>
      </c>
      <c r="E128" s="28">
        <v>166.53</v>
      </c>
      <c r="F128" s="28">
        <v>23892.65</v>
      </c>
      <c r="G128" s="28">
        <v>134.54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4">
        <v>24</v>
      </c>
      <c r="B129" s="5">
        <v>41804</v>
      </c>
      <c r="C129" s="5">
        <v>41800</v>
      </c>
      <c r="D129" s="28">
        <v>220809.8</v>
      </c>
      <c r="E129" s="28">
        <v>179.19</v>
      </c>
      <c r="F129" s="28">
        <v>16563</v>
      </c>
      <c r="G129" s="28">
        <v>145.29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4">
        <v>25</v>
      </c>
      <c r="B130" s="5">
        <v>41811</v>
      </c>
      <c r="C130" s="5">
        <v>41807</v>
      </c>
      <c r="D130" s="28">
        <v>294361.65999999997</v>
      </c>
      <c r="E130" s="28">
        <v>184.35289599999999</v>
      </c>
      <c r="F130" s="28">
        <v>14370.85</v>
      </c>
      <c r="G130" s="28">
        <v>148.112255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4">
        <v>26</v>
      </c>
      <c r="B131" s="5">
        <v>41818</v>
      </c>
      <c r="C131" s="5">
        <v>41814</v>
      </c>
      <c r="D131" s="28">
        <v>382112.7</v>
      </c>
      <c r="E131" s="28">
        <v>225.42659399999999</v>
      </c>
      <c r="F131" s="28">
        <v>21915.599999999999</v>
      </c>
      <c r="G131" s="28">
        <v>147.17083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4">
        <v>27</v>
      </c>
      <c r="B132" s="5">
        <v>41825</v>
      </c>
      <c r="C132" s="5">
        <v>41821</v>
      </c>
      <c r="D132" s="28">
        <v>549397.25</v>
      </c>
      <c r="E132" s="28">
        <v>251.47609800000001</v>
      </c>
      <c r="F132" s="28">
        <v>35551.5</v>
      </c>
      <c r="G132" s="28">
        <v>150.99024600000001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4">
        <v>28</v>
      </c>
      <c r="B133" s="5">
        <v>41832</v>
      </c>
      <c r="C133" s="5">
        <v>41828</v>
      </c>
      <c r="D133" s="28">
        <v>542028.30000000005</v>
      </c>
      <c r="E133" s="28">
        <v>251.96731</v>
      </c>
      <c r="F133" s="28">
        <v>43951.199999999997</v>
      </c>
      <c r="G133" s="28">
        <v>147.56939700000001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4">
        <v>29</v>
      </c>
      <c r="B134" s="5">
        <v>41839</v>
      </c>
      <c r="C134" s="5">
        <v>41835</v>
      </c>
      <c r="D134" s="28">
        <v>491405.4</v>
      </c>
      <c r="E134" s="28">
        <v>246.05073100000001</v>
      </c>
      <c r="F134" s="28">
        <v>44281.7</v>
      </c>
      <c r="G134" s="28">
        <v>140.42508599999999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4">
        <v>30</v>
      </c>
      <c r="B135" s="5">
        <v>41846</v>
      </c>
      <c r="C135" s="5">
        <v>41842</v>
      </c>
      <c r="D135" s="28">
        <v>579185.44999999995</v>
      </c>
      <c r="E135" s="28">
        <v>233.81071399999999</v>
      </c>
      <c r="F135" s="28">
        <v>47549.85</v>
      </c>
      <c r="G135" s="28">
        <v>140.71912399999999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4">
        <v>31</v>
      </c>
      <c r="B136" s="5">
        <v>41853</v>
      </c>
      <c r="C136" s="5">
        <v>41850</v>
      </c>
      <c r="D136" s="28">
        <v>533010.99</v>
      </c>
      <c r="E136" s="28">
        <v>236.05707000000001</v>
      </c>
      <c r="F136" s="28">
        <v>50896.65</v>
      </c>
      <c r="G136" s="28">
        <v>125.39896899999999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4">
        <v>32</v>
      </c>
      <c r="B137" s="5">
        <v>41860</v>
      </c>
      <c r="C137" s="5">
        <v>41856</v>
      </c>
      <c r="D137" s="28">
        <v>618216.94999999995</v>
      </c>
      <c r="E137" s="28">
        <v>224.73385200000001</v>
      </c>
      <c r="F137" s="28">
        <v>46015.199999999997</v>
      </c>
      <c r="G137" s="28">
        <v>121.813283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4">
        <v>33</v>
      </c>
      <c r="B138" s="5">
        <v>41867</v>
      </c>
      <c r="C138" s="5">
        <v>41863</v>
      </c>
      <c r="D138" s="28">
        <v>446868.05</v>
      </c>
      <c r="E138" s="28">
        <v>226.85511399999999</v>
      </c>
      <c r="F138" s="28">
        <v>37823.85</v>
      </c>
      <c r="G138" s="28">
        <v>124.486396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4">
        <v>34</v>
      </c>
      <c r="B139" s="5">
        <v>41874</v>
      </c>
      <c r="C139" s="5">
        <v>41870</v>
      </c>
      <c r="D139" s="28">
        <v>504997.85</v>
      </c>
      <c r="E139" s="28">
        <v>213.12969000000001</v>
      </c>
      <c r="F139" s="28">
        <v>27020.1</v>
      </c>
      <c r="G139" s="28">
        <v>117.31689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4">
        <v>35</v>
      </c>
      <c r="B140" s="5">
        <v>41881</v>
      </c>
      <c r="C140" s="5">
        <v>41877</v>
      </c>
      <c r="D140" s="28">
        <v>514133.5</v>
      </c>
      <c r="E140" s="28">
        <v>212.12279599999999</v>
      </c>
      <c r="F140" s="28">
        <v>33451.300000000003</v>
      </c>
      <c r="G140" s="28">
        <v>113.445305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4">
        <v>36</v>
      </c>
      <c r="B141" s="5">
        <v>41888</v>
      </c>
      <c r="C141" s="5">
        <v>41884</v>
      </c>
      <c r="D141" s="28">
        <v>542728</v>
      </c>
      <c r="E141" s="28">
        <v>201.377962</v>
      </c>
      <c r="F141" s="28">
        <v>57769.1</v>
      </c>
      <c r="G141" s="28">
        <v>107.289997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4">
        <v>37</v>
      </c>
      <c r="B142" s="5">
        <v>41895</v>
      </c>
      <c r="C142" s="5">
        <v>41891</v>
      </c>
      <c r="D142" s="28">
        <v>532987.55000000005</v>
      </c>
      <c r="E142" s="28">
        <v>201.474965</v>
      </c>
      <c r="F142" s="28">
        <v>35966.800000000003</v>
      </c>
      <c r="G142" s="28">
        <v>105.063607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4">
        <v>38</v>
      </c>
      <c r="B143" s="5">
        <v>41902</v>
      </c>
      <c r="C143" s="5">
        <v>41898</v>
      </c>
      <c r="D143" s="28">
        <v>613359.75</v>
      </c>
      <c r="E143" s="28">
        <v>201.16300799999999</v>
      </c>
      <c r="F143" s="28">
        <v>42225.5</v>
      </c>
      <c r="G143" s="28">
        <v>107.968889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4">
        <v>39</v>
      </c>
      <c r="B144" s="5">
        <v>41909</v>
      </c>
      <c r="C144" s="5">
        <v>41905</v>
      </c>
      <c r="D144" s="28">
        <v>542498.19999999995</v>
      </c>
      <c r="E144" s="28">
        <v>187.27842699999999</v>
      </c>
      <c r="F144" s="28">
        <v>41053.199999999997</v>
      </c>
      <c r="G144" s="28">
        <v>111.57224600000001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4">
        <v>40</v>
      </c>
      <c r="B145" s="5">
        <v>41923</v>
      </c>
      <c r="C145" s="5">
        <v>41920</v>
      </c>
      <c r="D145" s="28">
        <v>592269.75</v>
      </c>
      <c r="E145" s="28">
        <v>181.85398900000001</v>
      </c>
      <c r="F145" s="28">
        <v>38740.5</v>
      </c>
      <c r="G145" s="28">
        <v>107.14134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4">
        <v>41</v>
      </c>
      <c r="B146" s="5">
        <v>41930</v>
      </c>
      <c r="C146" s="5">
        <v>41926</v>
      </c>
      <c r="D146" s="28">
        <v>588005.80000000005</v>
      </c>
      <c r="E146" s="28">
        <v>183.45127500000001</v>
      </c>
      <c r="F146" s="28">
        <v>48197.45</v>
      </c>
      <c r="G146" s="28">
        <v>107.606235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4">
        <v>42</v>
      </c>
      <c r="B147" s="5">
        <v>41937</v>
      </c>
      <c r="C147" s="5">
        <v>41933</v>
      </c>
      <c r="D147" s="28">
        <v>484985.45</v>
      </c>
      <c r="E147" s="28">
        <v>191.29983100000001</v>
      </c>
      <c r="F147" s="28">
        <v>29322.35</v>
      </c>
      <c r="G147" s="28">
        <v>107.004924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4">
        <v>43</v>
      </c>
      <c r="B148" s="5">
        <v>41944</v>
      </c>
      <c r="C148" s="5">
        <v>41940</v>
      </c>
      <c r="D148" s="28">
        <v>504498.48</v>
      </c>
      <c r="E148" s="28">
        <v>183.92364900000001</v>
      </c>
      <c r="F148" s="28">
        <v>50689.2</v>
      </c>
      <c r="G148" s="28">
        <v>102.031874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4">
        <v>44</v>
      </c>
      <c r="B149" s="5">
        <v>41951</v>
      </c>
      <c r="C149" s="5">
        <v>41946</v>
      </c>
      <c r="D149" s="28">
        <v>401864.9</v>
      </c>
      <c r="E149" s="28">
        <v>178.835588</v>
      </c>
      <c r="F149" s="28">
        <v>21441.599999999999</v>
      </c>
      <c r="G149" s="28">
        <v>91.722802000000001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4">
        <v>45</v>
      </c>
      <c r="B150" s="5">
        <v>41958</v>
      </c>
      <c r="C150" s="5">
        <v>41954</v>
      </c>
      <c r="D150" s="28">
        <v>541389.94999999995</v>
      </c>
      <c r="E150" s="28">
        <v>187.29772399999999</v>
      </c>
      <c r="F150" s="28">
        <v>33798.85</v>
      </c>
      <c r="G150" s="28">
        <v>94.259642999999997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4">
        <v>46</v>
      </c>
      <c r="B151" s="5">
        <v>41965</v>
      </c>
      <c r="C151" s="5">
        <v>41961</v>
      </c>
      <c r="D151" s="28">
        <v>801149.3</v>
      </c>
      <c r="E151" s="28">
        <v>189.247288</v>
      </c>
      <c r="F151" s="28">
        <v>35033.65</v>
      </c>
      <c r="G151" s="28">
        <v>98.568889999999996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4">
        <v>47</v>
      </c>
      <c r="B152" s="5">
        <v>41972</v>
      </c>
      <c r="C152" s="5">
        <v>41968</v>
      </c>
      <c r="D152" s="28">
        <v>449329.7</v>
      </c>
      <c r="E152" s="28">
        <v>176.621407</v>
      </c>
      <c r="F152" s="28">
        <v>72836.149999999994</v>
      </c>
      <c r="G152" s="28">
        <v>99.671440000000004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4">
        <v>48</v>
      </c>
      <c r="B153" s="5">
        <v>41979</v>
      </c>
      <c r="C153" s="5">
        <v>41975</v>
      </c>
      <c r="D153" s="28">
        <v>574607.94999999995</v>
      </c>
      <c r="E153" s="28">
        <v>176.86377200000001</v>
      </c>
      <c r="F153" s="28">
        <v>45713.3</v>
      </c>
      <c r="G153" s="28">
        <v>103.069861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4">
        <v>49</v>
      </c>
      <c r="B154" s="5">
        <v>41986</v>
      </c>
      <c r="C154" s="5">
        <v>41982</v>
      </c>
      <c r="D154" s="28">
        <v>461350.35</v>
      </c>
      <c r="E154" s="28">
        <v>174.42595800000001</v>
      </c>
      <c r="F154" s="28">
        <v>38075.65</v>
      </c>
      <c r="G154" s="28">
        <v>103.20041000000001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4">
        <v>50</v>
      </c>
      <c r="B155" s="5">
        <v>41993</v>
      </c>
      <c r="C155" s="5">
        <v>41989</v>
      </c>
      <c r="D155" s="28">
        <v>467993.99</v>
      </c>
      <c r="E155" s="28">
        <v>165.64791600000001</v>
      </c>
      <c r="F155" s="28">
        <v>45714.95</v>
      </c>
      <c r="G155" s="28">
        <v>105.385452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4">
        <v>51</v>
      </c>
      <c r="B156" s="5">
        <v>42000</v>
      </c>
      <c r="C156" s="5">
        <v>41995</v>
      </c>
      <c r="D156" s="28">
        <v>346386.4</v>
      </c>
      <c r="E156" s="28">
        <v>170.07634899999999</v>
      </c>
      <c r="F156" s="28">
        <v>54458.5</v>
      </c>
      <c r="G156" s="28">
        <v>111.59143299999999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4">
        <v>52</v>
      </c>
      <c r="B157" s="5">
        <v>42007</v>
      </c>
      <c r="C157" s="5">
        <v>42002</v>
      </c>
      <c r="D157" s="28">
        <v>357872.1</v>
      </c>
      <c r="E157" s="28">
        <v>179.43823499999999</v>
      </c>
      <c r="F157" s="28">
        <v>54792.4</v>
      </c>
      <c r="G157" s="28">
        <v>110.396934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4">
        <v>1</v>
      </c>
      <c r="B158" s="12">
        <v>42014</v>
      </c>
      <c r="C158" s="12">
        <v>42010</v>
      </c>
      <c r="D158" s="28">
        <v>324895.90999999997</v>
      </c>
      <c r="E158" s="28">
        <v>162.88926599999999</v>
      </c>
      <c r="F158" s="28">
        <v>50416.15</v>
      </c>
      <c r="G158" s="28">
        <v>106.27371599999999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4">
        <v>2</v>
      </c>
      <c r="B159" s="12">
        <v>42021</v>
      </c>
      <c r="C159" s="12">
        <v>42017</v>
      </c>
      <c r="D159" s="28">
        <v>177818.8</v>
      </c>
      <c r="E159" s="28">
        <v>153.26405600000001</v>
      </c>
      <c r="F159" s="28">
        <v>31990.5</v>
      </c>
      <c r="G159" s="28">
        <v>109.432737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4">
        <v>3</v>
      </c>
      <c r="B160" s="12">
        <v>42028</v>
      </c>
      <c r="C160" s="12">
        <v>42024</v>
      </c>
      <c r="D160" s="28">
        <v>211711.5</v>
      </c>
      <c r="E160" s="28">
        <v>158.35572199999999</v>
      </c>
      <c r="F160" s="28">
        <v>61864.7</v>
      </c>
      <c r="G160" s="28">
        <v>106.060613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4">
        <v>4</v>
      </c>
      <c r="B161" s="12">
        <v>42035</v>
      </c>
      <c r="C161" s="12">
        <v>42031</v>
      </c>
      <c r="D161" s="28">
        <v>178559.8</v>
      </c>
      <c r="E161" s="28">
        <v>156.45244099999999</v>
      </c>
      <c r="F161" s="28">
        <v>52593.15</v>
      </c>
      <c r="G161" s="28">
        <v>109.076921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4">
        <v>5</v>
      </c>
      <c r="B162" s="12">
        <v>42042</v>
      </c>
      <c r="C162" s="12">
        <v>42038</v>
      </c>
      <c r="D162" s="28">
        <v>86045.65</v>
      </c>
      <c r="E162" s="28">
        <v>151.908942</v>
      </c>
      <c r="F162" s="28">
        <v>42257.7</v>
      </c>
      <c r="G162" s="28">
        <v>113.047123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4">
        <v>6</v>
      </c>
      <c r="B163" s="12">
        <v>42049</v>
      </c>
      <c r="C163" s="12">
        <v>42045</v>
      </c>
      <c r="D163" s="28">
        <v>154264.70000000001</v>
      </c>
      <c r="E163" s="28">
        <v>148.92818700000001</v>
      </c>
      <c r="F163" s="28">
        <v>31163.05</v>
      </c>
      <c r="G163" s="28">
        <v>94.988647999999998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4">
        <v>7</v>
      </c>
      <c r="B164" s="12">
        <v>42056</v>
      </c>
      <c r="C164" s="12">
        <v>42052</v>
      </c>
      <c r="D164" s="28">
        <v>61676.2</v>
      </c>
      <c r="E164" s="28">
        <v>148.980366</v>
      </c>
      <c r="F164" s="28">
        <v>32655.85</v>
      </c>
      <c r="G164" s="28">
        <v>96.537451000000004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4">
        <v>8</v>
      </c>
      <c r="B165" s="12">
        <v>42063</v>
      </c>
      <c r="C165" s="12">
        <v>42059</v>
      </c>
      <c r="D165" s="28">
        <v>0</v>
      </c>
      <c r="E165" s="28">
        <v>0</v>
      </c>
      <c r="F165" s="28">
        <v>37752.400000000001</v>
      </c>
      <c r="G165" s="28">
        <v>89.716774000000001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4">
        <v>9</v>
      </c>
      <c r="B166" s="12">
        <v>42070</v>
      </c>
      <c r="C166" s="12">
        <v>42066</v>
      </c>
      <c r="D166" s="28">
        <v>0</v>
      </c>
      <c r="E166" s="28">
        <v>0</v>
      </c>
      <c r="F166" s="28">
        <v>21846.3</v>
      </c>
      <c r="G166" s="28">
        <v>71.916781999999998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4">
        <v>10</v>
      </c>
      <c r="B167" s="12">
        <v>42077</v>
      </c>
      <c r="C167" s="12">
        <v>42073</v>
      </c>
      <c r="D167" s="28">
        <v>60066.15</v>
      </c>
      <c r="E167" s="28">
        <v>161.28698299999999</v>
      </c>
      <c r="F167" s="28">
        <v>21939.4</v>
      </c>
      <c r="G167" s="28">
        <v>81.200059999999993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4">
        <v>11</v>
      </c>
      <c r="B168" s="12">
        <v>42084</v>
      </c>
      <c r="C168" s="12"/>
      <c r="D168" s="28">
        <v>0</v>
      </c>
      <c r="E168" s="28">
        <v>0</v>
      </c>
      <c r="F168" s="28">
        <v>0</v>
      </c>
      <c r="G168" s="28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4">
        <v>12</v>
      </c>
      <c r="B169" s="12">
        <v>42091</v>
      </c>
      <c r="C169" s="12">
        <v>42087</v>
      </c>
      <c r="D169" s="28">
        <v>0</v>
      </c>
      <c r="E169" s="28">
        <v>0</v>
      </c>
      <c r="F169" s="28">
        <v>12889.85</v>
      </c>
      <c r="G169" s="28">
        <v>69.059224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4">
        <v>13</v>
      </c>
      <c r="B170" s="12">
        <v>42098</v>
      </c>
      <c r="C170" s="12"/>
      <c r="D170" s="28">
        <v>0</v>
      </c>
      <c r="E170" s="28">
        <v>0</v>
      </c>
      <c r="F170" s="28">
        <v>0</v>
      </c>
      <c r="G170" s="28">
        <v>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4">
        <v>14</v>
      </c>
      <c r="B171" s="12">
        <v>42105</v>
      </c>
      <c r="C171" s="12">
        <v>42101</v>
      </c>
      <c r="D171" s="28">
        <v>12557.4</v>
      </c>
      <c r="E171" s="28">
        <v>139.77839299999999</v>
      </c>
      <c r="F171" s="28">
        <v>0</v>
      </c>
      <c r="G171" s="28">
        <v>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4">
        <v>15</v>
      </c>
      <c r="B172" s="12">
        <v>42112</v>
      </c>
      <c r="C172" s="12">
        <v>42110</v>
      </c>
      <c r="D172" s="28">
        <v>37678.800000000003</v>
      </c>
      <c r="E172" s="28">
        <v>216.48041599999999</v>
      </c>
      <c r="F172" s="28">
        <v>2961.6</v>
      </c>
      <c r="G172" s="28">
        <v>68.129693000000003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4">
        <v>16</v>
      </c>
      <c r="B173" s="12">
        <v>42119</v>
      </c>
      <c r="C173" s="12">
        <v>42115</v>
      </c>
      <c r="D173" s="30">
        <v>94688.9</v>
      </c>
      <c r="E173" s="30">
        <v>224.01845</v>
      </c>
      <c r="F173" s="31">
        <v>4870.55</v>
      </c>
      <c r="G173" s="31">
        <v>134.795669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4">
        <v>17</v>
      </c>
      <c r="B174" s="12">
        <v>42126</v>
      </c>
      <c r="C174" s="12">
        <v>42122</v>
      </c>
      <c r="D174" s="29">
        <v>4544</v>
      </c>
      <c r="E174" s="29">
        <v>125.971214</v>
      </c>
      <c r="F174" s="29">
        <v>98989.8</v>
      </c>
      <c r="G174" s="29">
        <v>216.43384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4">
        <v>18</v>
      </c>
      <c r="B175" s="12">
        <v>42133</v>
      </c>
      <c r="C175" s="12">
        <v>42129</v>
      </c>
      <c r="D175" s="29">
        <v>250674.45</v>
      </c>
      <c r="E175" s="29">
        <v>193.22499999999999</v>
      </c>
      <c r="F175" s="29">
        <v>16793.150000000001</v>
      </c>
      <c r="G175" s="29">
        <v>111.149677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4">
        <v>19</v>
      </c>
      <c r="B176" s="12">
        <v>42140</v>
      </c>
      <c r="C176" s="12">
        <v>42136</v>
      </c>
      <c r="D176" s="29">
        <v>213579.3</v>
      </c>
      <c r="E176" s="29">
        <v>191.59028499999999</v>
      </c>
      <c r="F176" s="29">
        <v>15851.9</v>
      </c>
      <c r="G176" s="29">
        <v>109.231669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4">
        <v>20</v>
      </c>
      <c r="B177" s="12">
        <v>42147</v>
      </c>
      <c r="C177" s="12">
        <v>42143</v>
      </c>
      <c r="D177" s="29">
        <v>180802.7</v>
      </c>
      <c r="E177" s="29">
        <v>185.468996</v>
      </c>
      <c r="F177" s="29">
        <v>17179.400000000001</v>
      </c>
      <c r="G177" s="29">
        <v>114.16922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4">
        <v>21</v>
      </c>
      <c r="B178" s="12">
        <v>42154</v>
      </c>
      <c r="C178" s="12">
        <v>42150</v>
      </c>
      <c r="D178" s="29">
        <v>316672.44</v>
      </c>
      <c r="E178" s="29">
        <v>183.90685500000001</v>
      </c>
      <c r="F178" s="29">
        <v>23423.8</v>
      </c>
      <c r="G178" s="29">
        <v>113.672077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4">
        <v>22</v>
      </c>
      <c r="B179" s="12">
        <v>42161</v>
      </c>
      <c r="C179" s="12">
        <v>42157</v>
      </c>
      <c r="D179" s="28">
        <v>309737.49</v>
      </c>
      <c r="E179" s="28">
        <v>189.317218</v>
      </c>
      <c r="F179" s="28">
        <v>21733.8</v>
      </c>
      <c r="G179" s="28">
        <v>108.97118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4">
        <v>23</v>
      </c>
      <c r="B180" s="12">
        <v>42168</v>
      </c>
      <c r="C180" s="12">
        <v>42164</v>
      </c>
      <c r="D180" s="28">
        <v>423284.9</v>
      </c>
      <c r="E180" s="28">
        <v>210.724772</v>
      </c>
      <c r="F180" s="28">
        <v>23408.15</v>
      </c>
      <c r="G180" s="28">
        <v>109.61432000000001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4">
        <v>24</v>
      </c>
      <c r="B181" s="12">
        <v>42175</v>
      </c>
      <c r="C181" s="12">
        <v>42171</v>
      </c>
      <c r="D181" s="28">
        <v>389790.12</v>
      </c>
      <c r="E181" s="28">
        <v>233.065462</v>
      </c>
      <c r="F181" s="28">
        <v>28649.05</v>
      </c>
      <c r="G181" s="28">
        <v>117.452898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4">
        <v>25</v>
      </c>
      <c r="B182" s="12">
        <v>42182</v>
      </c>
      <c r="C182" s="12">
        <v>42178</v>
      </c>
      <c r="D182" s="28">
        <v>481025.67</v>
      </c>
      <c r="E182" s="28">
        <v>246.43513100000001</v>
      </c>
      <c r="F182" s="28">
        <v>32275.15</v>
      </c>
      <c r="G182" s="28">
        <v>118.552274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4">
        <v>26</v>
      </c>
      <c r="B183" s="12">
        <v>42189</v>
      </c>
      <c r="C183" s="12">
        <v>42185</v>
      </c>
      <c r="D183" s="28">
        <v>397628.4</v>
      </c>
      <c r="E183" s="28">
        <v>255.20438100000001</v>
      </c>
      <c r="F183" s="28">
        <v>38328.6</v>
      </c>
      <c r="G183" s="28">
        <v>120.444383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4">
        <v>27</v>
      </c>
      <c r="B184" s="12">
        <v>42196</v>
      </c>
      <c r="C184" s="12">
        <v>42192</v>
      </c>
      <c r="D184" s="28">
        <v>286856.59999999998</v>
      </c>
      <c r="E184" s="28">
        <v>230.63565500000001</v>
      </c>
      <c r="F184" s="28">
        <v>31994.3</v>
      </c>
      <c r="G184" s="28">
        <v>126.420545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4">
        <v>28</v>
      </c>
      <c r="B185" s="12">
        <v>42203</v>
      </c>
      <c r="C185" s="12">
        <v>42201</v>
      </c>
      <c r="D185" s="28">
        <v>399971.6</v>
      </c>
      <c r="E185" s="28">
        <v>245.78132199999999</v>
      </c>
      <c r="F185" s="28">
        <v>35542.1</v>
      </c>
      <c r="G185" s="28">
        <v>115.406413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4">
        <v>29</v>
      </c>
      <c r="B186" s="12">
        <v>42210</v>
      </c>
      <c r="C186" s="12">
        <v>42208</v>
      </c>
      <c r="D186" s="28">
        <v>372393.46</v>
      </c>
      <c r="E186" s="28">
        <v>260.86432600000001</v>
      </c>
      <c r="F186" s="28">
        <v>28823</v>
      </c>
      <c r="G186" s="28">
        <v>124.727278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4">
        <v>30</v>
      </c>
      <c r="B187" s="12">
        <v>42217</v>
      </c>
      <c r="C187" s="12">
        <v>42213</v>
      </c>
      <c r="D187" s="28">
        <v>401330.45</v>
      </c>
      <c r="E187" s="28">
        <v>253.45621499999999</v>
      </c>
      <c r="F187" s="28">
        <v>32013.25</v>
      </c>
      <c r="G187" s="28">
        <v>121.986463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4">
        <v>31</v>
      </c>
      <c r="B188" s="12">
        <v>42224</v>
      </c>
      <c r="C188" s="12">
        <v>42220</v>
      </c>
      <c r="D188" s="28">
        <v>408988.7</v>
      </c>
      <c r="E188" s="28">
        <v>257.623895</v>
      </c>
      <c r="F188" s="28">
        <v>38387.1</v>
      </c>
      <c r="G188" s="28">
        <v>120.502289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4">
        <v>32</v>
      </c>
      <c r="B189" s="12">
        <v>42231</v>
      </c>
      <c r="C189" s="12">
        <v>42227</v>
      </c>
      <c r="D189" s="28">
        <v>359440.27</v>
      </c>
      <c r="E189" s="28">
        <v>247.56390500000001</v>
      </c>
      <c r="F189" s="28">
        <v>30184.400000000001</v>
      </c>
      <c r="G189" s="28">
        <v>107.41016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4">
        <v>33</v>
      </c>
      <c r="B190" s="12">
        <v>42238</v>
      </c>
      <c r="C190" s="12">
        <v>42234</v>
      </c>
      <c r="D190" s="28">
        <v>416564.5</v>
      </c>
      <c r="E190" s="28">
        <v>254.28309899999999</v>
      </c>
      <c r="F190" s="28">
        <v>40430.400000000001</v>
      </c>
      <c r="G190" s="28">
        <v>121.24458300000001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4">
        <v>34</v>
      </c>
      <c r="B191" s="12">
        <v>42245</v>
      </c>
      <c r="C191" s="12">
        <v>42241</v>
      </c>
      <c r="D191" s="28">
        <v>441824.57</v>
      </c>
      <c r="E191" s="28">
        <v>238.030373</v>
      </c>
      <c r="F191" s="28">
        <v>39472.050000000003</v>
      </c>
      <c r="G191" s="28">
        <v>110.91088999999999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4">
        <v>35</v>
      </c>
      <c r="B192" s="12">
        <v>42252</v>
      </c>
      <c r="C192" s="12">
        <v>42248</v>
      </c>
      <c r="D192" s="28">
        <v>395963.9</v>
      </c>
      <c r="E192" s="28">
        <v>229.04930999999999</v>
      </c>
      <c r="F192" s="28">
        <v>41628.800000000003</v>
      </c>
      <c r="G192" s="28">
        <v>103.473837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4">
        <v>36</v>
      </c>
      <c r="B193" s="12">
        <v>42259</v>
      </c>
      <c r="C193" s="12">
        <v>42255</v>
      </c>
      <c r="D193" s="28">
        <v>428706.67</v>
      </c>
      <c r="E193" s="28">
        <v>224.70053999999999</v>
      </c>
      <c r="F193" s="28">
        <v>42246.5</v>
      </c>
      <c r="G193" s="28">
        <v>109.019109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4">
        <v>37</v>
      </c>
      <c r="B194" s="12">
        <v>42266</v>
      </c>
      <c r="C194" s="12">
        <v>42262</v>
      </c>
      <c r="D194" s="28">
        <v>313507.09999999998</v>
      </c>
      <c r="E194" s="28">
        <v>209.95884599999999</v>
      </c>
      <c r="F194" s="28">
        <v>51576.9</v>
      </c>
      <c r="G194" s="28">
        <v>109.829064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4">
        <v>38</v>
      </c>
      <c r="B195" s="12">
        <v>42273</v>
      </c>
      <c r="C195" s="12">
        <v>42269</v>
      </c>
      <c r="D195" s="28">
        <v>380095.51</v>
      </c>
      <c r="E195" s="28">
        <v>218.11887300000001</v>
      </c>
      <c r="F195" s="28">
        <v>41868.449999999997</v>
      </c>
      <c r="G195" s="28">
        <v>104.975751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4">
        <v>39</v>
      </c>
      <c r="B196" s="12">
        <v>42280</v>
      </c>
      <c r="C196" s="12">
        <v>42276</v>
      </c>
      <c r="D196" s="28">
        <v>315323.3</v>
      </c>
      <c r="E196" s="28">
        <v>218.21053800000001</v>
      </c>
      <c r="F196" s="28">
        <v>34076.400000000001</v>
      </c>
      <c r="G196" s="28">
        <v>97.080805999999995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4">
        <v>40</v>
      </c>
      <c r="B197" s="12">
        <v>42287</v>
      </c>
      <c r="C197" s="12">
        <v>42283</v>
      </c>
      <c r="D197" s="28">
        <v>436573.2</v>
      </c>
      <c r="E197" s="28">
        <v>225.06550999999999</v>
      </c>
      <c r="F197" s="28">
        <v>56694.95</v>
      </c>
      <c r="G197" s="28">
        <v>101.600739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4">
        <v>41</v>
      </c>
      <c r="B198" s="12">
        <v>42294</v>
      </c>
      <c r="C198" s="12">
        <v>42290</v>
      </c>
      <c r="D198" s="28">
        <v>594913</v>
      </c>
      <c r="E198" s="28">
        <v>221.30920499999999</v>
      </c>
      <c r="F198" s="28">
        <v>64493.9</v>
      </c>
      <c r="G198" s="28">
        <v>98.623526999999996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4">
        <v>42</v>
      </c>
      <c r="B199" s="12">
        <v>42301</v>
      </c>
      <c r="C199" s="12"/>
      <c r="D199" s="28"/>
      <c r="E199" s="28"/>
      <c r="F199" s="28"/>
      <c r="G199" s="2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4">
        <v>43</v>
      </c>
      <c r="B200" s="12">
        <v>42308</v>
      </c>
      <c r="C200" s="12">
        <v>42305</v>
      </c>
      <c r="D200" s="28">
        <v>514307.2</v>
      </c>
      <c r="E200" s="28">
        <v>214.12105399999999</v>
      </c>
      <c r="F200" s="28">
        <v>88882.2</v>
      </c>
      <c r="G200" s="28">
        <v>96.400882999999993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4">
        <v>44</v>
      </c>
      <c r="B201" s="12">
        <v>42315</v>
      </c>
      <c r="C201" s="12">
        <v>42311</v>
      </c>
      <c r="D201" s="28">
        <v>473339.5</v>
      </c>
      <c r="E201" s="28">
        <v>212.19608500000001</v>
      </c>
      <c r="F201" s="28">
        <v>54231.5</v>
      </c>
      <c r="G201" s="28">
        <v>91.482409000000004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4">
        <v>45</v>
      </c>
      <c r="B202" s="12">
        <v>42322</v>
      </c>
      <c r="C202" s="12">
        <v>42317</v>
      </c>
      <c r="D202" s="28">
        <v>644420.81000000006</v>
      </c>
      <c r="E202" s="28">
        <v>213.28914399999999</v>
      </c>
      <c r="F202" s="28">
        <v>59823</v>
      </c>
      <c r="G202" s="28">
        <v>89.685383000000002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4">
        <v>46</v>
      </c>
      <c r="B203" s="12">
        <v>42329</v>
      </c>
      <c r="C203" s="12">
        <v>42325</v>
      </c>
      <c r="D203" s="28">
        <v>651431.44999999995</v>
      </c>
      <c r="E203" s="28">
        <v>207.29657599999999</v>
      </c>
      <c r="F203" s="28">
        <v>56573.85</v>
      </c>
      <c r="G203" s="28">
        <v>90.757487999999995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4">
        <v>47</v>
      </c>
      <c r="B204" s="12">
        <v>42336</v>
      </c>
      <c r="C204" s="12">
        <v>42331</v>
      </c>
      <c r="D204" s="28">
        <v>640872.30000000005</v>
      </c>
      <c r="E204" s="28">
        <v>205.8339</v>
      </c>
      <c r="F204" s="28">
        <v>57375.8</v>
      </c>
      <c r="G204" s="28">
        <v>103.355452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4">
        <v>48</v>
      </c>
      <c r="B205" s="12">
        <v>42343</v>
      </c>
      <c r="C205" s="12">
        <v>42339</v>
      </c>
      <c r="D205" s="28">
        <v>565018.25</v>
      </c>
      <c r="E205" s="28">
        <v>209.79650100000001</v>
      </c>
      <c r="F205" s="28">
        <v>79726.3</v>
      </c>
      <c r="G205" s="28">
        <v>101.64662800000001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4">
        <v>49</v>
      </c>
      <c r="B206" s="12">
        <v>42350</v>
      </c>
      <c r="C206" s="12">
        <v>42346</v>
      </c>
      <c r="D206" s="28">
        <v>428669.35</v>
      </c>
      <c r="E206" s="28">
        <v>211.54519400000001</v>
      </c>
      <c r="F206" s="28">
        <v>47468</v>
      </c>
      <c r="G206" s="28">
        <v>114.560069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4">
        <v>50</v>
      </c>
      <c r="B207" s="12">
        <v>42357</v>
      </c>
      <c r="C207" s="12">
        <v>42353</v>
      </c>
      <c r="D207" s="28">
        <v>459526.15</v>
      </c>
      <c r="E207" s="28">
        <v>206.75092799999999</v>
      </c>
      <c r="F207" s="28">
        <v>35082.400000000001</v>
      </c>
      <c r="G207" s="28">
        <v>108.517473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4">
        <v>51</v>
      </c>
      <c r="B208" s="12">
        <v>42364</v>
      </c>
      <c r="C208" s="12">
        <v>42360</v>
      </c>
      <c r="D208" s="28">
        <v>331874.3</v>
      </c>
      <c r="E208" s="28">
        <v>205.925039</v>
      </c>
      <c r="F208" s="28">
        <v>46236.800000000003</v>
      </c>
      <c r="G208" s="28">
        <v>120.883257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4">
        <v>52</v>
      </c>
      <c r="B209" s="12">
        <v>42371</v>
      </c>
      <c r="C209" s="12">
        <v>42367</v>
      </c>
      <c r="D209" s="28">
        <v>291033.59999999998</v>
      </c>
      <c r="E209" s="28">
        <v>187.07131899999999</v>
      </c>
      <c r="F209" s="28">
        <v>38238.199999999997</v>
      </c>
      <c r="G209" s="28">
        <v>113.71474499999999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4">
        <v>1</v>
      </c>
      <c r="B210" s="12">
        <v>42378</v>
      </c>
      <c r="C210" s="12">
        <v>42374</v>
      </c>
      <c r="D210" s="28">
        <v>245895.3</v>
      </c>
      <c r="E210" s="28">
        <v>189.53158999999999</v>
      </c>
      <c r="F210" s="28">
        <v>42732.7</v>
      </c>
      <c r="G210" s="28">
        <v>111.960493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4">
        <v>2</v>
      </c>
      <c r="B211" s="12">
        <v>42385</v>
      </c>
      <c r="C211" s="12">
        <v>42381</v>
      </c>
      <c r="D211" s="28">
        <v>158255.20000000001</v>
      </c>
      <c r="E211" s="28">
        <v>173.03719799999999</v>
      </c>
      <c r="F211" s="28">
        <v>37271.9</v>
      </c>
      <c r="G211" s="28">
        <v>100.50485399999999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4">
        <v>3</v>
      </c>
      <c r="B212" s="12">
        <v>42392</v>
      </c>
      <c r="C212" s="12">
        <v>42388</v>
      </c>
      <c r="D212" s="28">
        <v>122229.8</v>
      </c>
      <c r="E212" s="28">
        <v>187.22363200000001</v>
      </c>
      <c r="F212" s="28">
        <v>23886.6</v>
      </c>
      <c r="G212" s="28">
        <v>114.53841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4">
        <v>4</v>
      </c>
      <c r="B213" s="12">
        <v>42399</v>
      </c>
      <c r="C213" s="12">
        <v>42395</v>
      </c>
      <c r="D213" s="28">
        <v>0</v>
      </c>
      <c r="E213" s="28">
        <v>0</v>
      </c>
      <c r="F213" s="28">
        <v>22312.6</v>
      </c>
      <c r="G213" s="28">
        <v>114.816417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4">
        <v>5</v>
      </c>
      <c r="B214" s="12">
        <v>42406</v>
      </c>
      <c r="C214" s="12">
        <v>42402</v>
      </c>
      <c r="D214" s="28">
        <v>183443.45</v>
      </c>
      <c r="E214" s="28">
        <v>173.56010000000001</v>
      </c>
      <c r="F214" s="28">
        <v>22706.6</v>
      </c>
      <c r="G214" s="28">
        <v>103.96155299999999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4">
        <v>6</v>
      </c>
      <c r="B215" s="12">
        <v>42413</v>
      </c>
      <c r="C215" s="12">
        <v>42409</v>
      </c>
      <c r="D215" s="28">
        <v>38519</v>
      </c>
      <c r="E215" s="28">
        <v>135.00960799999999</v>
      </c>
      <c r="F215" s="28">
        <v>3542.8</v>
      </c>
      <c r="G215" s="28">
        <v>89.214744999999994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4">
        <v>7</v>
      </c>
      <c r="B216" s="12">
        <v>42420</v>
      </c>
      <c r="C216" s="12">
        <v>42416</v>
      </c>
      <c r="D216" s="28">
        <v>0</v>
      </c>
      <c r="E216" s="28">
        <v>0</v>
      </c>
      <c r="F216" s="28">
        <v>3037.4</v>
      </c>
      <c r="G216" s="28">
        <v>97.377954000000003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4">
        <v>8</v>
      </c>
      <c r="B217" s="12">
        <v>42427</v>
      </c>
      <c r="C217" s="12">
        <v>42423</v>
      </c>
      <c r="D217" s="28">
        <v>0</v>
      </c>
      <c r="E217" s="28">
        <v>0</v>
      </c>
      <c r="F217" s="28">
        <v>2607.8000000000002</v>
      </c>
      <c r="G217" s="28">
        <v>68.824602999999996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4">
        <v>9</v>
      </c>
      <c r="B218" s="12">
        <v>42434</v>
      </c>
      <c r="C218" s="12"/>
      <c r="D218" s="28"/>
      <c r="E218" s="28"/>
      <c r="F218" s="28"/>
      <c r="G218" s="2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4">
        <v>10</v>
      </c>
      <c r="B219" s="12">
        <v>42441</v>
      </c>
      <c r="C219" s="12"/>
      <c r="D219" s="28"/>
      <c r="E219" s="28"/>
      <c r="F219" s="28"/>
      <c r="G219" s="2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4">
        <v>11</v>
      </c>
      <c r="B220" s="12">
        <v>42448</v>
      </c>
      <c r="C220" s="12">
        <v>42444</v>
      </c>
      <c r="D220" s="28">
        <v>51453.48</v>
      </c>
      <c r="E220" s="28">
        <v>170.18942100000001</v>
      </c>
      <c r="F220" s="28">
        <v>269.8</v>
      </c>
      <c r="G220" s="28">
        <v>130.45366899999999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4">
        <v>12</v>
      </c>
      <c r="B221" s="12">
        <v>42455</v>
      </c>
      <c r="C221" s="12"/>
      <c r="D221" s="28"/>
      <c r="E221" s="28"/>
      <c r="F221" s="28"/>
      <c r="G221" s="2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4">
        <v>13</v>
      </c>
      <c r="B222" s="12">
        <v>42462</v>
      </c>
      <c r="C222" s="12"/>
      <c r="D222" s="28"/>
      <c r="E222" s="28"/>
      <c r="F222" s="28"/>
      <c r="G222" s="2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4">
        <v>14</v>
      </c>
      <c r="B223" s="12">
        <v>42469</v>
      </c>
      <c r="C223" s="12">
        <v>42465</v>
      </c>
      <c r="D223" s="28">
        <v>36268.43</v>
      </c>
      <c r="E223" s="28">
        <v>158.27843300000001</v>
      </c>
      <c r="F223" s="28">
        <v>2137.6</v>
      </c>
      <c r="G223" s="28">
        <v>124.489614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4">
        <v>15</v>
      </c>
      <c r="B224" s="12">
        <v>42476</v>
      </c>
      <c r="C224" s="12">
        <v>42472</v>
      </c>
      <c r="D224" s="28">
        <v>158447.4</v>
      </c>
      <c r="E224" s="28">
        <v>233.532646</v>
      </c>
      <c r="F224" s="28">
        <v>4707.6000000000004</v>
      </c>
      <c r="G224" s="28">
        <v>132.856189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4">
        <v>16</v>
      </c>
      <c r="B225" s="12">
        <v>42483</v>
      </c>
      <c r="C225" s="12">
        <v>42479</v>
      </c>
      <c r="D225" s="28">
        <v>271516.59999999998</v>
      </c>
      <c r="E225" s="28">
        <v>229.45004</v>
      </c>
      <c r="F225" s="28">
        <v>14933.6</v>
      </c>
      <c r="G225" s="28">
        <v>118.11792199999999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4">
        <v>17</v>
      </c>
      <c r="B226" s="12">
        <v>42490</v>
      </c>
      <c r="C226" s="12">
        <v>42486</v>
      </c>
      <c r="D226" s="29">
        <v>288695</v>
      </c>
      <c r="E226" s="29">
        <v>226.00196399999999</v>
      </c>
      <c r="F226" s="29">
        <v>11658.4</v>
      </c>
      <c r="G226" s="29">
        <v>121.863274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4">
        <v>18</v>
      </c>
      <c r="B227" s="12">
        <v>42497</v>
      </c>
      <c r="C227" s="12">
        <v>42493</v>
      </c>
      <c r="D227" s="29">
        <v>361691.9</v>
      </c>
      <c r="E227" s="29">
        <v>219.67714699999999</v>
      </c>
      <c r="F227" s="29">
        <v>20973.9</v>
      </c>
      <c r="G227" s="29">
        <v>118.824129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4">
        <v>19</v>
      </c>
      <c r="B228" s="12">
        <v>42504</v>
      </c>
      <c r="C228" s="12">
        <v>42501</v>
      </c>
      <c r="D228" s="29">
        <v>361045.48</v>
      </c>
      <c r="E228" s="29">
        <v>213.76892900000001</v>
      </c>
      <c r="F228" s="29">
        <v>19650.3</v>
      </c>
      <c r="G228" s="29">
        <v>124.05577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4">
        <v>20</v>
      </c>
      <c r="B229" s="12">
        <v>42511</v>
      </c>
      <c r="C229" s="12">
        <v>42507</v>
      </c>
      <c r="D229" s="29">
        <v>385531.5</v>
      </c>
      <c r="E229" s="29">
        <v>210.25538900000001</v>
      </c>
      <c r="F229" s="29">
        <v>25919.3</v>
      </c>
      <c r="G229" s="29">
        <v>120.40269600000001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4">
        <v>21</v>
      </c>
      <c r="B230" s="12">
        <v>42518</v>
      </c>
      <c r="C230" s="12">
        <v>42514</v>
      </c>
      <c r="D230" s="29">
        <v>260088.75</v>
      </c>
      <c r="E230" s="29">
        <v>217.17715999999999</v>
      </c>
      <c r="F230" s="29">
        <v>18286.5</v>
      </c>
      <c r="G230" s="29">
        <v>118.010176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4">
        <v>22</v>
      </c>
      <c r="B231" s="12">
        <v>42525</v>
      </c>
      <c r="C231" s="12">
        <v>42521</v>
      </c>
      <c r="D231" s="28">
        <v>207522</v>
      </c>
      <c r="E231" s="28">
        <v>233.18179699999999</v>
      </c>
      <c r="F231" s="28">
        <v>12143</v>
      </c>
      <c r="G231" s="28">
        <v>123.94708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4">
        <v>23</v>
      </c>
      <c r="B232" s="12">
        <v>42532</v>
      </c>
      <c r="C232" s="12">
        <v>42528</v>
      </c>
      <c r="D232" s="28">
        <v>319167.95</v>
      </c>
      <c r="E232" s="28">
        <v>239.85574099999999</v>
      </c>
      <c r="F232" s="28">
        <v>14241.2</v>
      </c>
      <c r="G232" s="28">
        <v>126.49845500000001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4">
        <v>24</v>
      </c>
      <c r="B233" s="12">
        <v>42539</v>
      </c>
      <c r="C233" s="12">
        <v>42535</v>
      </c>
      <c r="D233" s="28">
        <v>448758.4</v>
      </c>
      <c r="E233" s="28">
        <v>246.11324099999999</v>
      </c>
      <c r="F233" s="28">
        <v>15521.4</v>
      </c>
      <c r="G233" s="28">
        <v>130.89241899999999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4">
        <v>25</v>
      </c>
      <c r="B234" s="12">
        <v>42546</v>
      </c>
      <c r="C234" s="12">
        <v>42544</v>
      </c>
      <c r="D234" s="28">
        <v>489176.25</v>
      </c>
      <c r="E234" s="28">
        <v>252.02858499999999</v>
      </c>
      <c r="F234" s="28">
        <v>21911.200000000001</v>
      </c>
      <c r="G234" s="28">
        <v>134.32023799999999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4">
        <v>26</v>
      </c>
      <c r="B235" s="12">
        <v>42553</v>
      </c>
      <c r="C235" s="12">
        <v>42550</v>
      </c>
      <c r="D235" s="28">
        <v>466209.72</v>
      </c>
      <c r="E235" s="28">
        <v>244.282015</v>
      </c>
      <c r="F235" s="28">
        <v>21215</v>
      </c>
      <c r="G235" s="28">
        <v>134.70542499999999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4">
        <v>27</v>
      </c>
      <c r="B236" s="12">
        <v>42560</v>
      </c>
      <c r="C236" s="12">
        <v>42559</v>
      </c>
      <c r="D236" s="28">
        <v>519571.8</v>
      </c>
      <c r="E236" s="28">
        <v>240.18916200000001</v>
      </c>
      <c r="F236" s="28">
        <v>29297.5</v>
      </c>
      <c r="G236" s="28">
        <v>139.27289300000001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4">
        <v>28</v>
      </c>
      <c r="B237" s="12">
        <v>42567</v>
      </c>
      <c r="C237" s="12">
        <v>42564</v>
      </c>
      <c r="D237" s="28">
        <v>471844.8</v>
      </c>
      <c r="E237" s="28">
        <v>241.25558699999999</v>
      </c>
      <c r="F237" s="28">
        <v>33451.1</v>
      </c>
      <c r="G237" s="28">
        <v>138.69150999999999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4">
        <v>29</v>
      </c>
      <c r="B238" s="12">
        <v>42574</v>
      </c>
      <c r="C238" s="12">
        <v>42570</v>
      </c>
      <c r="D238" s="28">
        <v>510695.6</v>
      </c>
      <c r="E238" s="28">
        <v>239.51074399999999</v>
      </c>
      <c r="F238" s="28">
        <v>30276.799999999999</v>
      </c>
      <c r="G238" s="28">
        <v>136.081256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4">
        <v>30</v>
      </c>
      <c r="B239" s="12">
        <v>42581</v>
      </c>
      <c r="C239" s="12">
        <v>42577</v>
      </c>
      <c r="D239" s="28">
        <v>544951.26</v>
      </c>
      <c r="E239" s="28">
        <v>239.234737</v>
      </c>
      <c r="F239" s="28">
        <v>25798.799999999999</v>
      </c>
      <c r="G239" s="28">
        <v>137.69131100000001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4">
        <v>31</v>
      </c>
      <c r="B240" s="12">
        <v>42588</v>
      </c>
      <c r="C240" s="12">
        <v>42584</v>
      </c>
      <c r="D240" s="28">
        <v>650695.9</v>
      </c>
      <c r="E240" s="28">
        <v>232.93875299999999</v>
      </c>
      <c r="F240" s="28">
        <v>31623.7</v>
      </c>
      <c r="G240" s="28">
        <v>129.696113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4">
        <v>32</v>
      </c>
      <c r="B241" s="12">
        <v>42595</v>
      </c>
      <c r="C241" s="12">
        <v>42591</v>
      </c>
      <c r="D241" s="28">
        <v>570850.6</v>
      </c>
      <c r="E241" s="28">
        <v>232.183448</v>
      </c>
      <c r="F241" s="28">
        <v>24509.200000000001</v>
      </c>
      <c r="G241" s="28">
        <v>132.61699200000001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4">
        <v>33</v>
      </c>
      <c r="B242" s="12">
        <v>42602</v>
      </c>
      <c r="C242" s="12">
        <v>42598</v>
      </c>
      <c r="D242" s="28">
        <v>593753.30000000005</v>
      </c>
      <c r="E242" s="28">
        <v>232.93785299999999</v>
      </c>
      <c r="F242" s="28">
        <v>14650.2</v>
      </c>
      <c r="G242" s="28">
        <v>129.254481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4">
        <v>34</v>
      </c>
      <c r="B243" s="12">
        <v>42609</v>
      </c>
      <c r="C243" s="12">
        <v>42605</v>
      </c>
      <c r="D243" s="28">
        <v>740576.4</v>
      </c>
      <c r="E243" s="28">
        <v>224.298089</v>
      </c>
      <c r="F243" s="28">
        <v>32393</v>
      </c>
      <c r="G243" s="28">
        <v>132.652918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4">
        <v>35</v>
      </c>
      <c r="B244" s="12">
        <v>42616</v>
      </c>
      <c r="C244" s="12">
        <v>42612</v>
      </c>
      <c r="D244" s="28">
        <v>661290.1</v>
      </c>
      <c r="E244" s="28">
        <v>219.35310799999999</v>
      </c>
      <c r="F244" s="28">
        <v>26047.9</v>
      </c>
      <c r="G244" s="28">
        <v>129.77476100000001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4">
        <v>36</v>
      </c>
      <c r="B245" s="12">
        <v>42623</v>
      </c>
      <c r="C245" s="12">
        <v>42619</v>
      </c>
      <c r="D245" s="28">
        <v>563202.69999999995</v>
      </c>
      <c r="E245" s="28">
        <v>220.24810600000001</v>
      </c>
      <c r="F245" s="28">
        <v>49979.199999999997</v>
      </c>
      <c r="G245" s="28">
        <v>129.22792200000001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4">
        <v>37</v>
      </c>
      <c r="B246" s="12">
        <v>42630</v>
      </c>
      <c r="C246" s="12">
        <v>42627</v>
      </c>
      <c r="D246" s="28">
        <v>643902</v>
      </c>
      <c r="E246" s="28">
        <v>214.06002599999999</v>
      </c>
      <c r="F246" s="28">
        <v>36925.9</v>
      </c>
      <c r="G246" s="28">
        <v>130.047595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4">
        <v>38</v>
      </c>
      <c r="B247" s="12">
        <v>42637</v>
      </c>
      <c r="C247" s="12">
        <v>42633</v>
      </c>
      <c r="D247" s="28">
        <v>534581.94999999995</v>
      </c>
      <c r="E247" s="28">
        <v>212.360445</v>
      </c>
      <c r="F247" s="28">
        <v>28935</v>
      </c>
      <c r="G247" s="28">
        <v>120.950717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4">
        <v>39</v>
      </c>
      <c r="B248" s="12">
        <v>42644</v>
      </c>
      <c r="C248" s="12">
        <v>42640</v>
      </c>
      <c r="D248" s="28">
        <v>647599.30000000005</v>
      </c>
      <c r="E248" s="28">
        <v>213.167292</v>
      </c>
      <c r="F248" s="28">
        <v>17849.2</v>
      </c>
      <c r="G248" s="28">
        <v>110.69716200000001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4">
        <v>40</v>
      </c>
      <c r="B249" s="12">
        <v>42651</v>
      </c>
      <c r="C249" s="12">
        <v>42647</v>
      </c>
      <c r="D249" s="28">
        <v>549947.9</v>
      </c>
      <c r="E249" s="28">
        <v>204.841408</v>
      </c>
      <c r="F249" s="28">
        <v>60231.1</v>
      </c>
      <c r="G249" s="28">
        <v>117.805333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4">
        <v>41</v>
      </c>
      <c r="B250" s="12">
        <v>42658</v>
      </c>
      <c r="C250" s="12"/>
      <c r="D250" s="28"/>
      <c r="E250" s="28"/>
      <c r="F250" s="28"/>
      <c r="G250" s="2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4">
        <v>42</v>
      </c>
      <c r="B251" s="12">
        <v>42665</v>
      </c>
      <c r="C251" s="12">
        <v>42662</v>
      </c>
      <c r="D251" s="28">
        <v>811022.1</v>
      </c>
      <c r="E251" s="28">
        <v>212.468087</v>
      </c>
      <c r="F251" s="28">
        <v>59034.8</v>
      </c>
      <c r="G251" s="28">
        <v>122.693275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4">
        <v>43</v>
      </c>
      <c r="B252" s="12">
        <v>42672</v>
      </c>
      <c r="C252" s="12">
        <v>42668</v>
      </c>
      <c r="D252" s="28">
        <v>688037.8</v>
      </c>
      <c r="E252" s="28">
        <v>211.45739499999999</v>
      </c>
      <c r="F252" s="28">
        <v>52898.9</v>
      </c>
      <c r="G252" s="28">
        <v>122.74073300000001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4">
        <v>44</v>
      </c>
      <c r="B253" s="12">
        <v>42679</v>
      </c>
      <c r="C253" s="12">
        <v>42676</v>
      </c>
      <c r="D253" s="28">
        <v>687249.7</v>
      </c>
      <c r="E253" s="28">
        <v>210.82912300000001</v>
      </c>
      <c r="F253" s="28">
        <v>31961</v>
      </c>
      <c r="G253" s="28">
        <v>122.231607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4">
        <v>45</v>
      </c>
      <c r="B254" s="12">
        <v>42686</v>
      </c>
      <c r="C254" s="12">
        <v>42683</v>
      </c>
      <c r="D254" s="28">
        <v>780442.05</v>
      </c>
      <c r="E254" s="28">
        <v>209.80326400000001</v>
      </c>
      <c r="F254" s="28">
        <v>59997.599999999999</v>
      </c>
      <c r="G254" s="28">
        <v>123.916353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4">
        <v>46</v>
      </c>
      <c r="B255" s="12">
        <v>42693</v>
      </c>
      <c r="C255" s="12">
        <v>42690</v>
      </c>
      <c r="D255" s="28">
        <v>579545.30000000005</v>
      </c>
      <c r="E255" s="28">
        <v>205.86105800000001</v>
      </c>
      <c r="F255" s="28">
        <v>43523.1</v>
      </c>
      <c r="G255" s="28">
        <v>120.541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4">
        <v>47</v>
      </c>
      <c r="B256" s="12">
        <v>42700</v>
      </c>
      <c r="C256" s="12">
        <v>42696</v>
      </c>
      <c r="D256" s="28">
        <v>585223.80000000005</v>
      </c>
      <c r="E256" s="28">
        <v>210.940372</v>
      </c>
      <c r="F256" s="28">
        <v>29594.6</v>
      </c>
      <c r="G256" s="28">
        <v>120.428862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4">
        <v>48</v>
      </c>
      <c r="B257" s="12">
        <v>42707</v>
      </c>
      <c r="C257" s="12">
        <v>42703</v>
      </c>
      <c r="D257" s="28">
        <v>641676.9</v>
      </c>
      <c r="E257" s="28">
        <v>212.44461799999999</v>
      </c>
      <c r="F257" s="28">
        <v>70949.5</v>
      </c>
      <c r="G257" s="28">
        <v>115.771929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4">
        <v>49</v>
      </c>
      <c r="B258" s="12">
        <v>42714</v>
      </c>
      <c r="C258" s="12">
        <v>42710</v>
      </c>
      <c r="D258" s="28">
        <v>627407</v>
      </c>
      <c r="E258" s="28">
        <v>212.96492599999999</v>
      </c>
      <c r="F258" s="28">
        <v>43719</v>
      </c>
      <c r="G258" s="28">
        <v>116.382092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4">
        <v>50</v>
      </c>
      <c r="B259" s="12">
        <v>42721</v>
      </c>
      <c r="C259" s="12">
        <v>42717</v>
      </c>
      <c r="D259" s="28">
        <v>703406.9</v>
      </c>
      <c r="E259" s="28">
        <v>207.846082</v>
      </c>
      <c r="F259" s="28">
        <v>30106.2</v>
      </c>
      <c r="G259" s="28">
        <v>112.73665800000001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4">
        <v>51</v>
      </c>
      <c r="B260" s="12">
        <v>42728</v>
      </c>
      <c r="C260" s="12">
        <v>42724</v>
      </c>
      <c r="D260" s="28">
        <v>724712.3</v>
      </c>
      <c r="E260" s="28">
        <v>207.340067</v>
      </c>
      <c r="F260" s="28">
        <v>56479.199999999997</v>
      </c>
      <c r="G260" s="28">
        <v>112.837423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4">
        <v>52</v>
      </c>
      <c r="B261" s="12">
        <v>42735</v>
      </c>
      <c r="C261" s="12"/>
      <c r="D261" s="28"/>
      <c r="E261" s="28"/>
      <c r="F261" s="28"/>
      <c r="G261" s="2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4">
        <v>1</v>
      </c>
      <c r="B262" s="12">
        <v>42742</v>
      </c>
      <c r="C262" s="12">
        <v>42738</v>
      </c>
      <c r="D262" s="28">
        <v>659803.38</v>
      </c>
      <c r="E262" s="28">
        <v>204.55541600000001</v>
      </c>
      <c r="F262" s="28">
        <v>32895.800000000003</v>
      </c>
      <c r="G262" s="28">
        <v>108.583746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4">
        <v>2</v>
      </c>
      <c r="B263" s="12">
        <v>42749</v>
      </c>
      <c r="C263" s="12">
        <v>42745</v>
      </c>
      <c r="D263" s="28">
        <v>551906.6</v>
      </c>
      <c r="E263" s="28">
        <v>183.613167</v>
      </c>
      <c r="F263" s="28">
        <v>25779.5</v>
      </c>
      <c r="G263" s="28">
        <v>108.32691800000001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4">
        <v>3</v>
      </c>
      <c r="B264" s="12">
        <v>42756</v>
      </c>
      <c r="C264" s="12">
        <v>42752</v>
      </c>
      <c r="D264" s="28">
        <v>491549.1</v>
      </c>
      <c r="E264" s="28">
        <v>173.021762</v>
      </c>
      <c r="F264" s="28">
        <v>47276.9</v>
      </c>
      <c r="G264" s="28">
        <v>108.03856399999999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4">
        <v>4</v>
      </c>
      <c r="B265" s="12">
        <v>42763</v>
      </c>
      <c r="C265" s="12">
        <v>42759</v>
      </c>
      <c r="D265" s="28">
        <v>687739.8</v>
      </c>
      <c r="E265" s="28">
        <v>164.13430199999999</v>
      </c>
      <c r="F265" s="28">
        <v>30082.6</v>
      </c>
      <c r="G265" s="28">
        <v>108.718009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4">
        <v>5</v>
      </c>
      <c r="B266" s="12">
        <v>42770</v>
      </c>
      <c r="C266" s="12">
        <v>42766</v>
      </c>
      <c r="D266" s="28">
        <v>643468.19999999995</v>
      </c>
      <c r="E266" s="28">
        <v>167.07414299999999</v>
      </c>
      <c r="F266" s="28">
        <v>26189.599999999999</v>
      </c>
      <c r="G266" s="28">
        <v>106.86318900000001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4">
        <v>6</v>
      </c>
      <c r="B267" s="12">
        <v>42777</v>
      </c>
      <c r="C267" s="12">
        <v>42774</v>
      </c>
      <c r="D267" s="28">
        <v>416967.3</v>
      </c>
      <c r="E267" s="28">
        <v>158.765435</v>
      </c>
      <c r="F267" s="28">
        <v>42755.6</v>
      </c>
      <c r="G267" s="28">
        <v>111.47667199999999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4">
        <v>7</v>
      </c>
      <c r="B268" s="12">
        <v>42784</v>
      </c>
      <c r="C268" s="12">
        <v>42780</v>
      </c>
      <c r="D268" s="28">
        <v>352097.75</v>
      </c>
      <c r="E268" s="28">
        <v>152.39807200000001</v>
      </c>
      <c r="F268" s="28">
        <v>47643.5</v>
      </c>
      <c r="G268" s="28">
        <v>106.114158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4">
        <v>8</v>
      </c>
      <c r="B269" s="12">
        <v>42791</v>
      </c>
      <c r="C269" s="12">
        <v>42787</v>
      </c>
      <c r="D269" s="28">
        <v>137956.9</v>
      </c>
      <c r="E269" s="28">
        <v>148.63711000000001</v>
      </c>
      <c r="F269" s="28">
        <v>49760.4</v>
      </c>
      <c r="G269" s="28">
        <v>102.212847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4">
        <v>9</v>
      </c>
      <c r="B270" s="12">
        <v>42798</v>
      </c>
      <c r="C270" s="12">
        <v>42794</v>
      </c>
      <c r="D270" s="28">
        <v>148435.5</v>
      </c>
      <c r="E270" s="28">
        <v>169.75160700000001</v>
      </c>
      <c r="F270" s="28">
        <v>35509.4</v>
      </c>
      <c r="G270" s="28">
        <v>102.21803800000001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4">
        <v>10</v>
      </c>
      <c r="B271" s="12">
        <v>42805</v>
      </c>
      <c r="C271" s="12">
        <v>42801</v>
      </c>
      <c r="D271" s="28">
        <v>0</v>
      </c>
      <c r="E271" s="28">
        <v>0</v>
      </c>
      <c r="F271" s="28">
        <v>9874.6</v>
      </c>
      <c r="G271" s="28">
        <v>94.936605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4">
        <v>11</v>
      </c>
      <c r="B272" s="12">
        <v>42812</v>
      </c>
      <c r="C272" s="12">
        <v>42808</v>
      </c>
      <c r="D272" s="28">
        <v>0</v>
      </c>
      <c r="E272" s="28">
        <v>0</v>
      </c>
      <c r="F272" s="28">
        <v>6454.4</v>
      </c>
      <c r="G272" s="28">
        <v>96.721213000000006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4">
        <v>12</v>
      </c>
      <c r="B273" s="12">
        <v>42819</v>
      </c>
      <c r="C273" s="12">
        <v>42815</v>
      </c>
      <c r="D273" s="28">
        <v>193500.7</v>
      </c>
      <c r="E273" s="28">
        <v>167.280573</v>
      </c>
      <c r="F273" s="28">
        <v>2081.6</v>
      </c>
      <c r="G273" s="28">
        <v>87.221367999999998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4">
        <v>13</v>
      </c>
      <c r="B274" s="12">
        <v>42826</v>
      </c>
      <c r="C274" s="12"/>
      <c r="D274" s="28"/>
      <c r="E274" s="28"/>
      <c r="F274" s="28"/>
      <c r="G274" s="2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4">
        <v>14</v>
      </c>
      <c r="B275" s="13">
        <v>42833</v>
      </c>
      <c r="C275" s="13">
        <v>42829</v>
      </c>
      <c r="D275" s="32">
        <v>13914.7</v>
      </c>
      <c r="E275" s="32">
        <v>206.825098</v>
      </c>
      <c r="F275" s="32">
        <v>2739.8</v>
      </c>
      <c r="G275" s="32">
        <v>77.232716999999994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4">
        <v>15</v>
      </c>
      <c r="B276" s="12">
        <v>42840</v>
      </c>
      <c r="C276" s="12">
        <v>42836</v>
      </c>
      <c r="D276" s="28">
        <v>20322.900000000001</v>
      </c>
      <c r="E276" s="28">
        <v>212.468569</v>
      </c>
      <c r="F276" s="28">
        <v>2109.1999999999998</v>
      </c>
      <c r="G276" s="28">
        <v>93.069410000000005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4">
        <v>16</v>
      </c>
      <c r="B277" s="13">
        <v>42847</v>
      </c>
      <c r="C277" s="13">
        <v>42843</v>
      </c>
      <c r="D277" s="32">
        <v>65220.800000000003</v>
      </c>
      <c r="E277" s="32">
        <v>219.311319</v>
      </c>
      <c r="F277" s="32">
        <v>2387.6</v>
      </c>
      <c r="G277" s="32">
        <v>134.307254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4">
        <v>17</v>
      </c>
      <c r="B278" s="12">
        <v>42854</v>
      </c>
      <c r="C278" s="12">
        <v>42850</v>
      </c>
      <c r="D278" s="29">
        <v>185323.3</v>
      </c>
      <c r="E278" s="29">
        <v>218.061677</v>
      </c>
      <c r="F278" s="29">
        <v>4071.5</v>
      </c>
      <c r="G278" s="29">
        <v>141.601203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4">
        <v>18</v>
      </c>
      <c r="B279" s="12">
        <v>42861</v>
      </c>
      <c r="C279" s="12">
        <v>42857</v>
      </c>
      <c r="D279" s="29">
        <v>402670.25</v>
      </c>
      <c r="E279" s="29">
        <v>220.57655</v>
      </c>
      <c r="F279" s="29">
        <v>12151.2</v>
      </c>
      <c r="G279" s="29">
        <v>128.498963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4">
        <v>19</v>
      </c>
      <c r="B280" s="12">
        <v>42868</v>
      </c>
      <c r="C280" s="12">
        <v>42863</v>
      </c>
      <c r="D280" s="29">
        <v>493887.2</v>
      </c>
      <c r="E280" s="29">
        <v>220.941969</v>
      </c>
      <c r="F280" s="29">
        <v>19834.400000000001</v>
      </c>
      <c r="G280" s="29">
        <v>128.845485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4">
        <v>20</v>
      </c>
      <c r="B281" s="12">
        <v>42875</v>
      </c>
      <c r="C281" s="12">
        <v>42872</v>
      </c>
      <c r="D281" s="29">
        <v>420436</v>
      </c>
      <c r="E281" s="29">
        <v>217.56476599999999</v>
      </c>
      <c r="F281" s="29">
        <v>23734.2</v>
      </c>
      <c r="G281" s="29">
        <v>121.83059799999999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4">
        <v>21</v>
      </c>
      <c r="B282" s="12">
        <v>42882</v>
      </c>
      <c r="C282" s="12">
        <v>42878</v>
      </c>
      <c r="D282" s="29">
        <v>517895.7</v>
      </c>
      <c r="E282" s="29">
        <v>209.93431699999999</v>
      </c>
      <c r="F282" s="29">
        <v>31507</v>
      </c>
      <c r="G282" s="29">
        <v>114.924772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4">
        <v>22</v>
      </c>
      <c r="B283" s="12">
        <v>42889</v>
      </c>
      <c r="C283" s="12">
        <v>42885</v>
      </c>
      <c r="D283" s="28">
        <v>554054.40000000002</v>
      </c>
      <c r="E283" s="28">
        <v>210.007296</v>
      </c>
      <c r="F283" s="28">
        <v>28596.5</v>
      </c>
      <c r="G283" s="28">
        <v>120.927207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4">
        <v>23</v>
      </c>
      <c r="B284" s="12">
        <v>42896</v>
      </c>
      <c r="C284" s="12">
        <v>42892</v>
      </c>
      <c r="D284" s="28">
        <v>576559</v>
      </c>
      <c r="E284" s="28">
        <v>212.98299900000001</v>
      </c>
      <c r="F284" s="28">
        <v>31345.599999999999</v>
      </c>
      <c r="G284" s="28">
        <v>123.22599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4">
        <v>24</v>
      </c>
      <c r="B285" s="12">
        <v>42903</v>
      </c>
      <c r="C285" s="12">
        <v>42899</v>
      </c>
      <c r="D285" s="28">
        <v>647169.65</v>
      </c>
      <c r="E285" s="28">
        <v>217.58627300000001</v>
      </c>
      <c r="F285" s="28">
        <v>24462.799999999999</v>
      </c>
      <c r="G285" s="28">
        <v>124.878623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4">
        <v>25</v>
      </c>
      <c r="B286" s="12">
        <v>42910</v>
      </c>
      <c r="C286" s="12">
        <v>42906</v>
      </c>
      <c r="D286" s="28">
        <v>496449.4</v>
      </c>
      <c r="E286" s="28">
        <v>229.13698600000001</v>
      </c>
      <c r="F286" s="28">
        <v>29494.7</v>
      </c>
      <c r="G286" s="28">
        <v>120.72246800000001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4">
        <v>26</v>
      </c>
      <c r="B287" s="12">
        <v>42917</v>
      </c>
      <c r="C287" s="12">
        <v>42913</v>
      </c>
      <c r="D287" s="28">
        <v>619729.19999999995</v>
      </c>
      <c r="E287" s="28">
        <v>233.706828</v>
      </c>
      <c r="F287" s="28">
        <v>46295.519999999997</v>
      </c>
      <c r="G287" s="28">
        <v>129.715013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4">
        <v>27</v>
      </c>
      <c r="B288" s="12">
        <v>42924</v>
      </c>
      <c r="C288" s="12">
        <v>42922</v>
      </c>
      <c r="D288" s="28">
        <v>564112</v>
      </c>
      <c r="E288" s="28">
        <v>231.759815</v>
      </c>
      <c r="F288" s="28">
        <v>47986.9</v>
      </c>
      <c r="G288" s="28">
        <v>128.81613100000001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4">
        <v>28</v>
      </c>
      <c r="B289" s="12">
        <v>42931</v>
      </c>
      <c r="C289" s="12">
        <v>42928</v>
      </c>
      <c r="D289" s="28">
        <v>503076.75</v>
      </c>
      <c r="E289" s="28">
        <v>229.80529799999999</v>
      </c>
      <c r="F289" s="28">
        <v>37677.4</v>
      </c>
      <c r="G289" s="28">
        <v>133.83722299999999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4">
        <v>29</v>
      </c>
      <c r="B290" s="12">
        <v>42938</v>
      </c>
      <c r="C290" s="12">
        <v>42935</v>
      </c>
      <c r="D290" s="28">
        <v>645179.35</v>
      </c>
      <c r="E290" s="28">
        <v>235.632687</v>
      </c>
      <c r="F290" s="28">
        <v>46555.1</v>
      </c>
      <c r="G290" s="28">
        <v>131.75131400000001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4">
        <v>30</v>
      </c>
      <c r="B291" s="12">
        <v>42945</v>
      </c>
      <c r="C291" s="12">
        <v>42942</v>
      </c>
      <c r="D291" s="28">
        <v>634981.32999999996</v>
      </c>
      <c r="E291" s="28">
        <v>238.31312700000001</v>
      </c>
      <c r="F291" s="28">
        <v>43392</v>
      </c>
      <c r="G291" s="28">
        <v>139.135121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4">
        <v>31</v>
      </c>
      <c r="B292" s="12">
        <v>42952</v>
      </c>
      <c r="C292" s="12">
        <v>42949</v>
      </c>
      <c r="D292" s="28">
        <v>716917.76000000001</v>
      </c>
      <c r="E292" s="28">
        <v>235.75873999999999</v>
      </c>
      <c r="F292" s="28">
        <v>43907.6</v>
      </c>
      <c r="G292" s="28">
        <v>137.54332700000001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4">
        <v>32</v>
      </c>
      <c r="B293" s="12">
        <v>42959</v>
      </c>
      <c r="C293" s="12">
        <v>42955</v>
      </c>
      <c r="D293" s="28">
        <v>637388.05000000005</v>
      </c>
      <c r="E293" s="28">
        <v>236.332461</v>
      </c>
      <c r="F293" s="28">
        <v>45583.8</v>
      </c>
      <c r="G293" s="28">
        <v>129.29651699999999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4">
        <v>33</v>
      </c>
      <c r="B294" s="12">
        <v>42966</v>
      </c>
      <c r="C294" s="12">
        <v>42963</v>
      </c>
      <c r="D294" s="28">
        <v>761956.4</v>
      </c>
      <c r="E294" s="28">
        <v>232.85481200000001</v>
      </c>
      <c r="F294" s="28">
        <v>56900.7</v>
      </c>
      <c r="G294" s="28">
        <v>123.22389800000001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4">
        <v>34</v>
      </c>
      <c r="B295" s="12">
        <v>42973</v>
      </c>
      <c r="C295" s="12">
        <v>42969</v>
      </c>
      <c r="D295" s="28">
        <v>716824.52</v>
      </c>
      <c r="E295" s="28">
        <v>236.65181699999999</v>
      </c>
      <c r="F295" s="28">
        <v>40382.199999999997</v>
      </c>
      <c r="G295" s="28">
        <v>121.279687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4">
        <v>35</v>
      </c>
      <c r="B296" s="12">
        <v>42980</v>
      </c>
      <c r="C296" s="12">
        <v>42976</v>
      </c>
      <c r="D296" s="28">
        <v>819473.07</v>
      </c>
      <c r="E296" s="28">
        <v>215.19863000000001</v>
      </c>
      <c r="F296" s="28">
        <v>40589.800000000003</v>
      </c>
      <c r="G296" s="28">
        <v>124.034915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4">
        <v>36</v>
      </c>
      <c r="B297" s="12">
        <v>42987</v>
      </c>
      <c r="C297" s="12">
        <v>42983</v>
      </c>
      <c r="D297" s="28">
        <v>652754.5</v>
      </c>
      <c r="E297" s="28">
        <v>217.77184299999999</v>
      </c>
      <c r="F297" s="28">
        <v>33142</v>
      </c>
      <c r="G297" s="28">
        <v>116.784195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4">
        <v>37</v>
      </c>
      <c r="B298" s="12">
        <v>42994</v>
      </c>
      <c r="C298" s="12">
        <v>42990</v>
      </c>
      <c r="D298" s="28">
        <v>683026.05</v>
      </c>
      <c r="E298" s="28">
        <v>214.39957899999999</v>
      </c>
      <c r="F298" s="28">
        <v>36469</v>
      </c>
      <c r="G298" s="28">
        <v>112.38973900000001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4">
        <v>38</v>
      </c>
      <c r="B299" s="12">
        <v>43001</v>
      </c>
      <c r="C299" s="12">
        <v>42998</v>
      </c>
      <c r="D299" s="28">
        <v>746223.6</v>
      </c>
      <c r="E299" s="28">
        <v>213.82399000000001</v>
      </c>
      <c r="F299" s="28">
        <v>77847.8</v>
      </c>
      <c r="G299" s="28">
        <v>118.190718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4">
        <v>39</v>
      </c>
      <c r="B300" s="12">
        <v>43008</v>
      </c>
      <c r="C300" s="12"/>
      <c r="D300" s="28">
        <v>0</v>
      </c>
      <c r="E300" s="28">
        <v>0</v>
      </c>
      <c r="F300" s="28">
        <v>0</v>
      </c>
      <c r="G300" s="28">
        <v>0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4">
        <v>40</v>
      </c>
      <c r="B301" s="12">
        <v>43015</v>
      </c>
      <c r="C301" s="12">
        <v>43012</v>
      </c>
      <c r="D301" s="28">
        <v>483058.68</v>
      </c>
      <c r="E301" s="28">
        <v>223.379276</v>
      </c>
      <c r="F301" s="28">
        <v>18045</v>
      </c>
      <c r="G301" s="28">
        <v>120.29003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4">
        <v>41</v>
      </c>
      <c r="B302" s="12">
        <v>43022</v>
      </c>
      <c r="C302" s="12">
        <v>43018</v>
      </c>
      <c r="D302" s="28">
        <v>819726.6</v>
      </c>
      <c r="E302" s="28">
        <v>213.44105500000001</v>
      </c>
      <c r="F302" s="28">
        <v>75338</v>
      </c>
      <c r="G302" s="28">
        <v>111.336034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4">
        <v>42</v>
      </c>
      <c r="B303" s="12">
        <v>43029</v>
      </c>
      <c r="C303" s="12">
        <v>43025</v>
      </c>
      <c r="D303" s="28">
        <v>742026.21</v>
      </c>
      <c r="E303" s="28">
        <v>217.93255500000001</v>
      </c>
      <c r="F303" s="28">
        <v>54332.6</v>
      </c>
      <c r="G303" s="28">
        <v>112.420528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4">
        <v>43</v>
      </c>
      <c r="B304" s="12">
        <v>43036</v>
      </c>
      <c r="C304" s="12">
        <v>43033</v>
      </c>
      <c r="D304" s="28">
        <v>1054758.3999999999</v>
      </c>
      <c r="E304" s="28">
        <v>212.73653400000001</v>
      </c>
      <c r="F304" s="28">
        <v>71399.899999999994</v>
      </c>
      <c r="G304" s="28">
        <v>113.55002399999999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4">
        <v>44</v>
      </c>
      <c r="B305" s="12">
        <v>43043</v>
      </c>
      <c r="C305" s="12">
        <v>43040</v>
      </c>
      <c r="D305" s="28">
        <v>705553.56</v>
      </c>
      <c r="E305" s="28">
        <v>211.05416</v>
      </c>
      <c r="F305" s="28">
        <v>67277</v>
      </c>
      <c r="G305" s="28">
        <v>106.252505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4">
        <v>45</v>
      </c>
      <c r="B306" s="12">
        <v>43050</v>
      </c>
      <c r="C306" s="12">
        <v>43047</v>
      </c>
      <c r="D306" s="28">
        <v>923577.49</v>
      </c>
      <c r="E306" s="28">
        <v>222.53687600000001</v>
      </c>
      <c r="F306" s="28">
        <v>59964.2</v>
      </c>
      <c r="G306" s="28">
        <v>106.270421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4">
        <v>46</v>
      </c>
      <c r="B307" s="12">
        <v>43057</v>
      </c>
      <c r="C307" s="12">
        <v>43054</v>
      </c>
      <c r="D307" s="28">
        <v>821363.55</v>
      </c>
      <c r="E307" s="28">
        <v>216.840396</v>
      </c>
      <c r="F307" s="28">
        <v>60431</v>
      </c>
      <c r="G307" s="28">
        <v>115.07089000000001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4">
        <v>47</v>
      </c>
      <c r="B308" s="12">
        <v>43064</v>
      </c>
      <c r="C308" s="12">
        <v>43060</v>
      </c>
      <c r="D308" s="28">
        <v>730568.85</v>
      </c>
      <c r="E308" s="28">
        <v>209.76864</v>
      </c>
      <c r="F308" s="28">
        <v>80465.2</v>
      </c>
      <c r="G308" s="28">
        <v>115.616882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4">
        <v>48</v>
      </c>
      <c r="B309" s="12">
        <v>43071</v>
      </c>
      <c r="C309" s="12">
        <v>43067</v>
      </c>
      <c r="D309" s="28">
        <v>631894.30000000005</v>
      </c>
      <c r="E309" s="28">
        <v>210.64367899999999</v>
      </c>
      <c r="F309" s="28">
        <v>62710</v>
      </c>
      <c r="G309" s="28">
        <v>111.737167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4">
        <v>49</v>
      </c>
      <c r="B310" s="12">
        <v>43078</v>
      </c>
      <c r="C310" s="12">
        <v>43074</v>
      </c>
      <c r="D310" s="28">
        <v>694790.28</v>
      </c>
      <c r="E310" s="28">
        <v>209.945165</v>
      </c>
      <c r="F310" s="28">
        <v>89242.9</v>
      </c>
      <c r="G310" s="28">
        <v>112.21141900000001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4">
        <v>50</v>
      </c>
      <c r="B311" s="12">
        <v>43085</v>
      </c>
      <c r="C311" s="12">
        <v>43081</v>
      </c>
      <c r="D311" s="28">
        <v>552372.52</v>
      </c>
      <c r="E311" s="28">
        <v>197.219213</v>
      </c>
      <c r="F311" s="28">
        <v>65876</v>
      </c>
      <c r="G311" s="28">
        <v>113.08708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4">
        <v>51</v>
      </c>
      <c r="B312" s="12">
        <v>43092</v>
      </c>
      <c r="C312" s="12">
        <v>43088</v>
      </c>
      <c r="D312" s="28">
        <v>669405.4</v>
      </c>
      <c r="E312" s="28">
        <v>194.823306</v>
      </c>
      <c r="F312" s="28">
        <v>75378.600000000006</v>
      </c>
      <c r="G312" s="28">
        <v>113.271244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4">
        <v>52</v>
      </c>
      <c r="B313" s="12">
        <v>43099</v>
      </c>
      <c r="C313" s="12">
        <v>43095</v>
      </c>
      <c r="D313" s="28">
        <v>526716.4</v>
      </c>
      <c r="E313" s="28">
        <v>189.717805</v>
      </c>
      <c r="F313" s="28">
        <v>87093</v>
      </c>
      <c r="G313" s="28">
        <v>107.41028300000001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4">
        <v>1</v>
      </c>
      <c r="B314" s="12">
        <v>43106</v>
      </c>
      <c r="C314" s="12">
        <v>43102</v>
      </c>
      <c r="D314" s="28">
        <v>489774.3</v>
      </c>
      <c r="E314" s="28">
        <v>188.26124100000001</v>
      </c>
      <c r="F314" s="28">
        <v>68928.899999999994</v>
      </c>
      <c r="G314" s="28">
        <v>108.18537999999999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4">
        <v>2</v>
      </c>
      <c r="B315" s="12">
        <v>43113</v>
      </c>
      <c r="C315" s="12">
        <v>43109</v>
      </c>
      <c r="D315" s="28">
        <v>497203.9</v>
      </c>
      <c r="E315" s="28">
        <v>170.04409899999999</v>
      </c>
      <c r="F315" s="28">
        <v>0</v>
      </c>
      <c r="G315" s="28">
        <v>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4">
        <v>3</v>
      </c>
      <c r="B316" s="12">
        <v>43120</v>
      </c>
      <c r="C316" s="12">
        <v>43115</v>
      </c>
      <c r="D316" s="28">
        <v>560776.6</v>
      </c>
      <c r="E316" s="28">
        <v>163.11912599999999</v>
      </c>
      <c r="F316" s="28">
        <v>61128.1</v>
      </c>
      <c r="G316" s="28">
        <v>105.253112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4">
        <v>4</v>
      </c>
      <c r="B317" s="12">
        <v>43127</v>
      </c>
      <c r="C317" s="12">
        <v>43124</v>
      </c>
      <c r="D317" s="28">
        <v>0</v>
      </c>
      <c r="E317" s="28">
        <v>0</v>
      </c>
      <c r="F317" s="28">
        <v>50145</v>
      </c>
      <c r="G317" s="28">
        <v>98.318862999999993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4">
        <v>5</v>
      </c>
      <c r="B318" s="12">
        <v>43134</v>
      </c>
      <c r="C318" s="12">
        <v>43130</v>
      </c>
      <c r="D318" s="28">
        <v>636138.19999999995</v>
      </c>
      <c r="E318" s="28">
        <v>158.99562</v>
      </c>
      <c r="F318" s="28">
        <v>42154.8</v>
      </c>
      <c r="G318" s="28">
        <v>93.160388999999995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4">
        <v>6</v>
      </c>
      <c r="B319" s="12">
        <v>43141</v>
      </c>
      <c r="C319" s="12">
        <v>43137</v>
      </c>
      <c r="D319" s="28">
        <v>543761.4</v>
      </c>
      <c r="E319" s="28">
        <v>146.013441</v>
      </c>
      <c r="F319" s="28">
        <v>44040.6</v>
      </c>
      <c r="G319" s="28">
        <v>90.872389999999996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4">
        <v>7</v>
      </c>
      <c r="B320" s="12">
        <v>43148</v>
      </c>
      <c r="C320" s="12">
        <v>43144</v>
      </c>
      <c r="D320" s="28">
        <v>243010.2</v>
      </c>
      <c r="E320" s="28">
        <v>167.28440699999999</v>
      </c>
      <c r="F320" s="28">
        <v>26332.799999999999</v>
      </c>
      <c r="G320" s="28">
        <v>87.595119999999994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4">
        <v>8</v>
      </c>
      <c r="B321" s="12">
        <v>43155</v>
      </c>
      <c r="C321" s="12">
        <v>43151</v>
      </c>
      <c r="D321" s="28">
        <v>314696.7</v>
      </c>
      <c r="E321" s="28">
        <v>152.142233</v>
      </c>
      <c r="F321" s="28">
        <v>33189.4</v>
      </c>
      <c r="G321" s="28">
        <v>86.251947000000001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4">
        <v>9</v>
      </c>
      <c r="B322" s="12">
        <v>43162</v>
      </c>
      <c r="C322" s="12">
        <v>43158</v>
      </c>
      <c r="D322" s="28">
        <v>156587.79999999999</v>
      </c>
      <c r="E322" s="28">
        <v>168.87629699999999</v>
      </c>
      <c r="F322" s="28">
        <v>15023.7</v>
      </c>
      <c r="G322" s="28">
        <v>77.584929000000002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4">
        <v>10</v>
      </c>
      <c r="B323" s="12">
        <v>43169</v>
      </c>
      <c r="C323" s="12"/>
      <c r="D323" s="28">
        <v>0</v>
      </c>
      <c r="E323" s="28">
        <v>0</v>
      </c>
      <c r="F323" s="28">
        <v>0</v>
      </c>
      <c r="G323" s="28">
        <v>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4">
        <v>11</v>
      </c>
      <c r="B324" s="12">
        <v>43176</v>
      </c>
      <c r="C324" s="12"/>
      <c r="D324" s="28">
        <v>0</v>
      </c>
      <c r="E324" s="28">
        <v>0</v>
      </c>
      <c r="F324" s="28">
        <v>0</v>
      </c>
      <c r="G324" s="28">
        <v>0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4">
        <v>12</v>
      </c>
      <c r="B325" s="12">
        <v>43183</v>
      </c>
      <c r="C325" s="12">
        <v>43179</v>
      </c>
      <c r="D325" s="28">
        <v>294704.40000000002</v>
      </c>
      <c r="E325" s="28">
        <v>172.616896</v>
      </c>
      <c r="F325" s="28">
        <v>25892.400000000001</v>
      </c>
      <c r="G325" s="28">
        <v>84.829910999999996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4">
        <v>13</v>
      </c>
      <c r="B326" s="13">
        <v>43190</v>
      </c>
      <c r="C326" s="12"/>
      <c r="D326" s="28">
        <v>0</v>
      </c>
      <c r="E326" s="28">
        <v>0</v>
      </c>
      <c r="F326" s="28">
        <v>0</v>
      </c>
      <c r="G326" s="28">
        <v>0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4">
        <v>14</v>
      </c>
      <c r="B327" s="13">
        <v>43197</v>
      </c>
      <c r="C327" s="13">
        <v>43194</v>
      </c>
      <c r="D327" s="32">
        <v>148476.9</v>
      </c>
      <c r="E327" s="32">
        <v>183.988528</v>
      </c>
      <c r="F327" s="32">
        <v>5167.8</v>
      </c>
      <c r="G327" s="32">
        <v>72.600913000000006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4">
        <v>15</v>
      </c>
      <c r="B328" s="12">
        <v>43204</v>
      </c>
      <c r="C328" s="13">
        <v>43200</v>
      </c>
      <c r="D328" s="28">
        <v>132385.79999999999</v>
      </c>
      <c r="E328" s="28">
        <v>174.88779500000001</v>
      </c>
      <c r="F328" s="28">
        <v>1532.6</v>
      </c>
      <c r="G328" s="28">
        <v>89.901872999999995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4">
        <v>16</v>
      </c>
      <c r="B329" s="12">
        <v>43211</v>
      </c>
      <c r="C329" s="12">
        <v>43207</v>
      </c>
      <c r="D329" s="32">
        <v>113110.7</v>
      </c>
      <c r="E329" s="32">
        <v>216.061184</v>
      </c>
      <c r="F329" s="32">
        <v>846.9</v>
      </c>
      <c r="G329" s="32">
        <v>129.797496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4">
        <v>17</v>
      </c>
      <c r="B330" s="12">
        <v>43218</v>
      </c>
      <c r="C330" s="12">
        <v>43214</v>
      </c>
      <c r="D330" s="29">
        <v>277483.2</v>
      </c>
      <c r="E330" s="29">
        <v>219.761821</v>
      </c>
      <c r="F330" s="29">
        <v>4054.6</v>
      </c>
      <c r="G330" s="29">
        <v>106.489912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4">
        <v>18</v>
      </c>
      <c r="B331" s="12">
        <v>43225</v>
      </c>
      <c r="C331" s="12">
        <v>43222</v>
      </c>
      <c r="D331" s="29">
        <v>601307.25</v>
      </c>
      <c r="E331" s="29">
        <v>230.44259500000001</v>
      </c>
      <c r="F331" s="29">
        <v>16647.5</v>
      </c>
      <c r="G331" s="29">
        <v>121.865337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4">
        <v>19</v>
      </c>
      <c r="B332" s="12">
        <v>43232</v>
      </c>
      <c r="C332" s="12">
        <v>43228</v>
      </c>
      <c r="D332" s="29">
        <v>635233.69999999995</v>
      </c>
      <c r="E332" s="29">
        <v>223.02214599999999</v>
      </c>
      <c r="F332" s="29">
        <v>17486.400000000001</v>
      </c>
      <c r="G332" s="29">
        <v>117.69198900000001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4">
        <v>20</v>
      </c>
      <c r="B333" s="12">
        <v>43239</v>
      </c>
      <c r="C333" s="12">
        <v>43235</v>
      </c>
      <c r="D333" s="28">
        <v>516976.94</v>
      </c>
      <c r="E333" s="28">
        <v>215.502217</v>
      </c>
      <c r="F333" s="29">
        <v>15868.6</v>
      </c>
      <c r="G333" s="29">
        <v>111.57701299999999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4">
        <v>21</v>
      </c>
      <c r="B334" s="12">
        <v>43246</v>
      </c>
      <c r="C334" s="12">
        <v>43242</v>
      </c>
      <c r="D334" s="29">
        <v>581693.24</v>
      </c>
      <c r="E334" s="29">
        <v>210.769147</v>
      </c>
      <c r="F334" s="29">
        <v>22620.799999999999</v>
      </c>
      <c r="G334" s="29">
        <v>115.89618400000001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4">
        <v>22</v>
      </c>
      <c r="B335" s="12">
        <v>43253</v>
      </c>
      <c r="C335" s="12">
        <v>43249</v>
      </c>
      <c r="D335" s="28">
        <v>569686.30000000005</v>
      </c>
      <c r="E335" s="28">
        <v>212.16840500000001</v>
      </c>
      <c r="F335" s="28">
        <v>32304.5</v>
      </c>
      <c r="G335" s="28">
        <v>108.923406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4">
        <v>23</v>
      </c>
      <c r="B336" s="12">
        <v>43260</v>
      </c>
      <c r="C336" s="12">
        <v>43256</v>
      </c>
      <c r="D336" s="28">
        <v>529489.15</v>
      </c>
      <c r="E336" s="28">
        <v>213.33822499999999</v>
      </c>
      <c r="F336" s="28">
        <v>28960.9</v>
      </c>
      <c r="G336" s="28">
        <v>108.408288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4">
        <v>24</v>
      </c>
      <c r="B337" s="12">
        <v>43267</v>
      </c>
      <c r="C337" s="12">
        <v>43263</v>
      </c>
      <c r="D337" s="28">
        <v>541704.19999999995</v>
      </c>
      <c r="E337" s="28">
        <v>224.39107100000001</v>
      </c>
      <c r="F337" s="28">
        <v>36141.199999999997</v>
      </c>
      <c r="G337" s="28">
        <v>119.93270200000001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4">
        <v>25</v>
      </c>
      <c r="B338" s="12">
        <v>43274</v>
      </c>
      <c r="C338" s="12">
        <v>43270</v>
      </c>
      <c r="D338" s="28">
        <v>520772.15</v>
      </c>
      <c r="E338" s="28">
        <v>227.06419500000001</v>
      </c>
      <c r="F338" s="28">
        <v>33356.400000000001</v>
      </c>
      <c r="G338" s="28">
        <v>125.86551300000001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4">
        <v>26</v>
      </c>
      <c r="B339" s="12">
        <v>43281</v>
      </c>
      <c r="C339" s="12">
        <v>43277</v>
      </c>
      <c r="D339" s="28">
        <v>631252.19999999995</v>
      </c>
      <c r="E339" s="28">
        <v>233.215934</v>
      </c>
      <c r="F339" s="28">
        <v>26423.200000000001</v>
      </c>
      <c r="G339" s="28">
        <v>124.419631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4">
        <v>27</v>
      </c>
      <c r="B340" s="12">
        <v>43288</v>
      </c>
      <c r="C340" s="12">
        <v>43284</v>
      </c>
      <c r="D340" s="28">
        <v>713882.5</v>
      </c>
      <c r="E340" s="28">
        <v>234.79311000000001</v>
      </c>
      <c r="F340" s="28">
        <v>37155.800000000003</v>
      </c>
      <c r="G340" s="28">
        <v>130.57744400000001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4">
        <v>28</v>
      </c>
      <c r="B341" s="12">
        <v>43295</v>
      </c>
      <c r="C341" s="12">
        <v>43291</v>
      </c>
      <c r="D341" s="28">
        <v>624455.75</v>
      </c>
      <c r="E341" s="28">
        <v>225.92430400000001</v>
      </c>
      <c r="F341" s="28">
        <v>35371.1</v>
      </c>
      <c r="G341" s="28">
        <v>120.26812200000001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4">
        <v>29</v>
      </c>
      <c r="B342" s="12">
        <v>43302</v>
      </c>
      <c r="C342" s="12">
        <v>43298</v>
      </c>
      <c r="D342" s="28">
        <v>671032.9</v>
      </c>
      <c r="E342" s="28">
        <v>230.004932</v>
      </c>
      <c r="F342" s="28">
        <v>43294</v>
      </c>
      <c r="G342" s="28">
        <v>119.549646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4">
        <v>30</v>
      </c>
      <c r="B343" s="12">
        <v>43309</v>
      </c>
      <c r="C343" s="12">
        <v>43305</v>
      </c>
      <c r="D343" s="28">
        <v>609059.35</v>
      </c>
      <c r="E343" s="28">
        <v>216.63136700000001</v>
      </c>
      <c r="F343" s="28">
        <v>23535.599999999999</v>
      </c>
      <c r="G343" s="28">
        <v>123.911317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4">
        <v>31</v>
      </c>
      <c r="B344" s="12">
        <v>43316</v>
      </c>
      <c r="C344" s="12">
        <v>43312</v>
      </c>
      <c r="D344" s="28">
        <v>540690.65</v>
      </c>
      <c r="E344" s="28">
        <v>208.402119</v>
      </c>
      <c r="F344" s="28">
        <v>38285.9</v>
      </c>
      <c r="G344" s="28">
        <v>120.83789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4">
        <v>32</v>
      </c>
      <c r="B345" s="12">
        <v>43323</v>
      </c>
      <c r="C345" s="12">
        <v>43319</v>
      </c>
      <c r="D345" s="28">
        <v>731314.4</v>
      </c>
      <c r="E345" s="28">
        <v>215.758318</v>
      </c>
      <c r="F345" s="28">
        <v>39588.300000000003</v>
      </c>
      <c r="G345" s="28">
        <v>121.625826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4">
        <v>33</v>
      </c>
      <c r="B346" s="12">
        <v>43330</v>
      </c>
      <c r="C346" s="12">
        <v>43326</v>
      </c>
      <c r="D346" s="28">
        <v>892181.18</v>
      </c>
      <c r="E346" s="28">
        <v>208.46929499999999</v>
      </c>
      <c r="F346" s="28">
        <v>39833.699999999997</v>
      </c>
      <c r="G346" s="28">
        <v>116.67165900000001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4">
        <v>34</v>
      </c>
      <c r="B347" s="12">
        <v>43337</v>
      </c>
      <c r="C347" s="12">
        <v>43333</v>
      </c>
      <c r="D347" s="28">
        <v>698631.7</v>
      </c>
      <c r="E347" s="28">
        <v>209.76370499999999</v>
      </c>
      <c r="F347" s="28">
        <v>30443.8</v>
      </c>
      <c r="G347" s="28">
        <v>109.997713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4">
        <v>35</v>
      </c>
      <c r="B348" s="12">
        <v>43344</v>
      </c>
      <c r="C348" s="12">
        <v>43340</v>
      </c>
      <c r="D348" s="28">
        <v>553985.6</v>
      </c>
      <c r="E348" s="28">
        <v>200.90778900000001</v>
      </c>
      <c r="F348" s="28">
        <v>76100.2</v>
      </c>
      <c r="G348" s="28">
        <v>115.38821900000001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4">
        <v>36</v>
      </c>
      <c r="B349" s="12">
        <v>43351</v>
      </c>
      <c r="C349" s="12">
        <v>43347</v>
      </c>
      <c r="D349" s="28">
        <v>755618.07</v>
      </c>
      <c r="E349" s="28">
        <v>189.68883400000001</v>
      </c>
      <c r="F349" s="28">
        <v>42663.8</v>
      </c>
      <c r="G349" s="28">
        <v>107.87341000000001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4">
        <v>37</v>
      </c>
      <c r="B350" s="12">
        <v>43358</v>
      </c>
      <c r="C350" s="12">
        <v>43354</v>
      </c>
      <c r="D350" s="28">
        <v>792768.34</v>
      </c>
      <c r="E350" s="28">
        <v>189.755042</v>
      </c>
      <c r="F350" s="28">
        <v>46895</v>
      </c>
      <c r="G350" s="28">
        <v>104.13087899999999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4">
        <v>38</v>
      </c>
      <c r="B351" s="12">
        <v>43365</v>
      </c>
      <c r="C351" s="12">
        <v>43361</v>
      </c>
      <c r="D351" s="28">
        <v>772914.7</v>
      </c>
      <c r="E351" s="28">
        <v>193.466229</v>
      </c>
      <c r="F351" s="28">
        <v>33793.599999999999</v>
      </c>
      <c r="G351" s="28">
        <v>105.663859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4">
        <v>39</v>
      </c>
      <c r="B352" s="12">
        <v>43372</v>
      </c>
      <c r="C352" s="12">
        <v>43368</v>
      </c>
      <c r="D352" s="28">
        <v>997366.28</v>
      </c>
      <c r="E352" s="28">
        <v>195.72063299999999</v>
      </c>
      <c r="F352" s="28">
        <v>28318.1</v>
      </c>
      <c r="G352" s="28">
        <v>105.142777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4">
        <v>40</v>
      </c>
      <c r="B353" s="12">
        <v>43379</v>
      </c>
      <c r="C353" s="12">
        <v>43374</v>
      </c>
      <c r="D353" s="28">
        <v>961993.1</v>
      </c>
      <c r="E353" s="28">
        <v>199.80618200000001</v>
      </c>
      <c r="F353" s="28">
        <v>33650.699999999997</v>
      </c>
      <c r="G353" s="28">
        <v>109.432579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4">
        <v>41</v>
      </c>
      <c r="B354" s="12">
        <v>43386</v>
      </c>
      <c r="C354" s="12">
        <v>43382</v>
      </c>
      <c r="D354" s="28">
        <v>711525.6</v>
      </c>
      <c r="E354" s="28">
        <v>195.41666799999999</v>
      </c>
      <c r="F354" s="28">
        <v>31364.1</v>
      </c>
      <c r="G354" s="28">
        <v>113.86122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4">
        <v>42</v>
      </c>
      <c r="B355" s="12">
        <v>43393</v>
      </c>
      <c r="C355" s="12"/>
      <c r="D355" s="28">
        <v>0</v>
      </c>
      <c r="E355" s="28">
        <v>0</v>
      </c>
      <c r="F355" s="28">
        <v>0</v>
      </c>
      <c r="G355" s="28">
        <v>0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4">
        <v>43</v>
      </c>
      <c r="B356" s="12">
        <v>43400</v>
      </c>
      <c r="C356" s="12">
        <v>43396</v>
      </c>
      <c r="D356" s="28">
        <v>677257.15</v>
      </c>
      <c r="E356" s="28">
        <v>208.11462499999999</v>
      </c>
      <c r="F356" s="28">
        <v>30511.1</v>
      </c>
      <c r="G356" s="28">
        <v>111.29832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4">
        <v>44</v>
      </c>
      <c r="B357" s="12">
        <v>43407</v>
      </c>
      <c r="C357" s="12">
        <v>43403</v>
      </c>
      <c r="D357" s="28">
        <v>680838.2</v>
      </c>
      <c r="E357" s="28">
        <v>205.93743499999999</v>
      </c>
      <c r="F357" s="28">
        <v>45782.5</v>
      </c>
      <c r="G357" s="28">
        <v>117.51987099999999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4">
        <v>45</v>
      </c>
      <c r="B358" s="12">
        <v>43414</v>
      </c>
      <c r="C358" s="12">
        <v>43409</v>
      </c>
      <c r="D358" s="28">
        <v>451263.4</v>
      </c>
      <c r="E358" s="28">
        <v>214.91441900000001</v>
      </c>
      <c r="F358" s="28">
        <v>21029.599999999999</v>
      </c>
      <c r="G358" s="28">
        <v>116.57426599999999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4">
        <v>46</v>
      </c>
      <c r="B359" s="12">
        <v>43421</v>
      </c>
      <c r="C359" s="12">
        <v>43418</v>
      </c>
      <c r="D359" s="28">
        <v>729334.85</v>
      </c>
      <c r="E359" s="28">
        <v>215.91506200000001</v>
      </c>
      <c r="F359" s="28">
        <v>28675.599999999999</v>
      </c>
      <c r="G359" s="28">
        <v>115.398785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4">
        <v>47</v>
      </c>
      <c r="B360" s="12">
        <v>43428</v>
      </c>
      <c r="C360" s="12">
        <v>43424</v>
      </c>
      <c r="D360" s="28">
        <v>667069.80000000005</v>
      </c>
      <c r="E360" s="28">
        <v>206.342748</v>
      </c>
      <c r="F360" s="28">
        <v>52977.8</v>
      </c>
      <c r="G360" s="28">
        <v>113.490945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4">
        <v>48</v>
      </c>
      <c r="B361" s="12">
        <v>43435</v>
      </c>
      <c r="C361" s="12">
        <v>43431</v>
      </c>
      <c r="D361" s="28">
        <v>879460.1</v>
      </c>
      <c r="E361" s="28">
        <v>211.93425099999999</v>
      </c>
      <c r="F361" s="28">
        <v>65711.899999999994</v>
      </c>
      <c r="G361" s="28">
        <v>110.42305399999999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4">
        <v>49</v>
      </c>
      <c r="B362" s="12">
        <v>43442</v>
      </c>
      <c r="C362" s="12">
        <v>43438</v>
      </c>
      <c r="D362" s="28">
        <v>1000784.8</v>
      </c>
      <c r="E362" s="28">
        <v>227.489462</v>
      </c>
      <c r="F362" s="28">
        <v>58527.199999999997</v>
      </c>
      <c r="G362" s="28">
        <v>118.456464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4">
        <v>50</v>
      </c>
      <c r="B363" s="12">
        <v>43449</v>
      </c>
      <c r="C363" s="12">
        <v>43445</v>
      </c>
      <c r="D363" s="28">
        <v>959842.3</v>
      </c>
      <c r="E363" s="28">
        <v>221.39237499999999</v>
      </c>
      <c r="F363" s="28">
        <v>42723.7</v>
      </c>
      <c r="G363" s="28">
        <v>119.581709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4">
        <v>51</v>
      </c>
      <c r="B364" s="12">
        <v>43456</v>
      </c>
      <c r="C364" s="12">
        <v>43452</v>
      </c>
      <c r="D364" s="28">
        <v>849544.1</v>
      </c>
      <c r="E364" s="28">
        <v>216.55578</v>
      </c>
      <c r="F364" s="28">
        <v>52249.4</v>
      </c>
      <c r="G364" s="28">
        <v>121.444969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4">
        <v>52</v>
      </c>
      <c r="B365" s="12">
        <v>43463</v>
      </c>
      <c r="C365" s="12">
        <v>43460</v>
      </c>
      <c r="D365" s="28">
        <v>842458.3</v>
      </c>
      <c r="E365" s="28">
        <v>203.617142</v>
      </c>
      <c r="F365" s="28">
        <v>49531.6</v>
      </c>
      <c r="G365" s="28">
        <v>120.460251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4">
        <v>1</v>
      </c>
      <c r="B366" s="12">
        <v>43470</v>
      </c>
      <c r="C366" s="12">
        <v>43467</v>
      </c>
      <c r="D366" s="28">
        <v>653603.30000000005</v>
      </c>
      <c r="E366" s="28">
        <v>190.49201299999999</v>
      </c>
      <c r="F366" s="28">
        <v>29919.4</v>
      </c>
      <c r="G366" s="28">
        <v>117.185598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4">
        <v>2</v>
      </c>
      <c r="B367" s="12">
        <v>43477</v>
      </c>
      <c r="C367" s="12">
        <v>43473</v>
      </c>
      <c r="D367" s="28">
        <v>707829.1</v>
      </c>
      <c r="E367" s="28">
        <v>195.164997</v>
      </c>
      <c r="F367" s="28">
        <v>91672.8</v>
      </c>
      <c r="G367" s="28">
        <v>111.769469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4">
        <v>3</v>
      </c>
      <c r="B368" s="12">
        <v>43484</v>
      </c>
      <c r="C368" s="12">
        <v>43480</v>
      </c>
      <c r="D368" s="28">
        <v>496102.2</v>
      </c>
      <c r="E368" s="28">
        <v>195.27570399999999</v>
      </c>
      <c r="F368" s="28">
        <v>49954.1</v>
      </c>
      <c r="G368" s="28">
        <v>111.13654699999999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4">
        <v>4</v>
      </c>
      <c r="B369" s="12">
        <v>43491</v>
      </c>
      <c r="C369" s="12">
        <v>43486</v>
      </c>
      <c r="D369" s="28">
        <v>462712.4</v>
      </c>
      <c r="E369" s="28">
        <v>178.214134</v>
      </c>
      <c r="F369" s="28">
        <v>44987</v>
      </c>
      <c r="G369" s="28">
        <v>110.55053599999999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4">
        <v>5</v>
      </c>
      <c r="B370" s="12">
        <v>43498</v>
      </c>
      <c r="C370" s="12">
        <v>43494</v>
      </c>
      <c r="D370" s="28">
        <v>305048.59999999998</v>
      </c>
      <c r="E370" s="28">
        <v>145.94883899999999</v>
      </c>
      <c r="F370" s="28">
        <v>54838</v>
      </c>
      <c r="G370" s="28">
        <v>112.20469900000001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4">
        <v>6</v>
      </c>
      <c r="B371" s="12">
        <v>43505</v>
      </c>
      <c r="C371" s="12">
        <v>43501</v>
      </c>
      <c r="D371" s="28">
        <v>129861.65</v>
      </c>
      <c r="E371" s="28">
        <v>171.630269</v>
      </c>
      <c r="F371" s="28">
        <v>55089.1</v>
      </c>
      <c r="G371" s="28">
        <v>112.78943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4">
        <v>7</v>
      </c>
      <c r="B372" s="12">
        <v>43512</v>
      </c>
      <c r="C372" s="12">
        <v>43508</v>
      </c>
      <c r="D372" s="28">
        <v>108126.65</v>
      </c>
      <c r="E372" s="28">
        <v>151.33188899999999</v>
      </c>
      <c r="F372" s="28">
        <v>27887</v>
      </c>
      <c r="G372" s="28">
        <v>107.65727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4">
        <v>8</v>
      </c>
      <c r="B373" s="12">
        <v>43519</v>
      </c>
      <c r="C373" s="12">
        <v>43515</v>
      </c>
      <c r="D373" s="28">
        <v>84972.59</v>
      </c>
      <c r="E373" s="28">
        <v>163.014703</v>
      </c>
      <c r="F373" s="28">
        <v>38451.699999999997</v>
      </c>
      <c r="G373" s="28">
        <v>97.944469999999995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4">
        <v>9</v>
      </c>
      <c r="B374" s="12">
        <v>43526</v>
      </c>
      <c r="C374" s="12">
        <v>43522</v>
      </c>
      <c r="D374" s="28">
        <v>61241.67</v>
      </c>
      <c r="E374" s="28">
        <v>171.25202300000001</v>
      </c>
      <c r="F374" s="28">
        <v>50118.8</v>
      </c>
      <c r="G374" s="28">
        <v>100.22960999999999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4">
        <v>10</v>
      </c>
      <c r="B375" s="12">
        <v>43533</v>
      </c>
      <c r="C375" s="12">
        <v>43529</v>
      </c>
      <c r="D375" s="28">
        <v>0</v>
      </c>
      <c r="E375" s="28">
        <v>0</v>
      </c>
      <c r="F375" s="28">
        <v>5742.8</v>
      </c>
      <c r="G375" s="28">
        <v>88.470223000000004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4">
        <v>11</v>
      </c>
      <c r="B376" s="12">
        <v>43540</v>
      </c>
      <c r="C376" s="12">
        <v>43536</v>
      </c>
      <c r="D376" s="28">
        <v>0</v>
      </c>
      <c r="E376" s="28">
        <v>0</v>
      </c>
      <c r="F376" s="28">
        <v>14039.6</v>
      </c>
      <c r="G376" s="28">
        <v>90.323029000000005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4">
        <v>12</v>
      </c>
      <c r="B377" s="12">
        <v>43547</v>
      </c>
      <c r="C377" s="12">
        <v>43543</v>
      </c>
      <c r="D377" s="28">
        <v>89387.35</v>
      </c>
      <c r="E377" s="28">
        <v>157.91049899999999</v>
      </c>
      <c r="F377" s="28">
        <v>7018.4</v>
      </c>
      <c r="G377" s="28">
        <v>79.721587999999997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4">
        <v>13</v>
      </c>
      <c r="B378" s="12">
        <v>43554</v>
      </c>
      <c r="C378" s="12"/>
      <c r="D378" s="28">
        <v>0</v>
      </c>
      <c r="E378" s="28">
        <v>0</v>
      </c>
      <c r="F378" s="28">
        <v>0</v>
      </c>
      <c r="G378" s="28">
        <v>0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4">
        <v>14</v>
      </c>
      <c r="B379" s="12">
        <v>43561</v>
      </c>
      <c r="C379" s="12">
        <v>43557</v>
      </c>
      <c r="D379" s="32">
        <v>66987.5</v>
      </c>
      <c r="E379" s="32">
        <v>190.88682800000001</v>
      </c>
      <c r="F379" s="32">
        <v>8229.7999999999993</v>
      </c>
      <c r="G379" s="32">
        <v>88.052758999999995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4">
        <v>15</v>
      </c>
      <c r="B380" s="12">
        <v>43568</v>
      </c>
      <c r="C380" s="12">
        <v>43564</v>
      </c>
      <c r="D380" s="28">
        <v>69022.3</v>
      </c>
      <c r="E380" s="28">
        <v>236.74536599999999</v>
      </c>
      <c r="F380" s="28">
        <v>2682.6</v>
      </c>
      <c r="G380" s="28">
        <v>77.618802000000002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4">
        <v>16</v>
      </c>
      <c r="B381" s="12">
        <v>43575</v>
      </c>
      <c r="C381" s="12">
        <v>43571</v>
      </c>
      <c r="D381" s="32">
        <v>151822.70000000001</v>
      </c>
      <c r="E381" s="32">
        <v>255.05528100000001</v>
      </c>
      <c r="F381" s="32">
        <v>3732</v>
      </c>
      <c r="G381" s="32">
        <v>122.582368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4">
        <v>17</v>
      </c>
      <c r="B382" s="12">
        <v>43582</v>
      </c>
      <c r="C382" s="12">
        <v>43578</v>
      </c>
      <c r="D382" s="29">
        <v>350568.9</v>
      </c>
      <c r="E382" s="29">
        <v>271.24795399999999</v>
      </c>
      <c r="F382" s="29">
        <v>8222.2000000000007</v>
      </c>
      <c r="G382" s="29">
        <v>111.51052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4">
        <v>18</v>
      </c>
      <c r="B383" s="12">
        <v>43589</v>
      </c>
      <c r="C383" s="12">
        <v>43585</v>
      </c>
      <c r="D383" s="29">
        <v>697587.5</v>
      </c>
      <c r="E383" s="29">
        <v>272.63730099999998</v>
      </c>
      <c r="F383" s="29">
        <v>31738.6</v>
      </c>
      <c r="G383" s="29">
        <v>133.976766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4">
        <v>19</v>
      </c>
      <c r="B384" s="12">
        <v>43596</v>
      </c>
      <c r="C384" s="12">
        <v>43592</v>
      </c>
      <c r="D384" s="29">
        <v>556288.78</v>
      </c>
      <c r="E384" s="29">
        <v>265.858046</v>
      </c>
      <c r="F384" s="29">
        <v>24402.6</v>
      </c>
      <c r="G384" s="29">
        <v>135.47194099999999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4">
        <v>20</v>
      </c>
      <c r="B385" s="12">
        <v>43603</v>
      </c>
      <c r="C385" s="12">
        <v>43599</v>
      </c>
      <c r="D385" s="28">
        <v>591023.4</v>
      </c>
      <c r="E385" s="28">
        <v>250.537781</v>
      </c>
      <c r="F385" s="29">
        <v>28921.3</v>
      </c>
      <c r="G385" s="29">
        <v>131.18617699999999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4">
        <v>21</v>
      </c>
      <c r="B386" s="12">
        <v>43610</v>
      </c>
      <c r="C386" s="12">
        <v>43606</v>
      </c>
      <c r="D386" s="29">
        <v>722988.35</v>
      </c>
      <c r="E386" s="29">
        <v>250.50753499999999</v>
      </c>
      <c r="F386" s="29">
        <v>33711.599999999999</v>
      </c>
      <c r="G386" s="29">
        <v>128.974198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4">
        <v>22</v>
      </c>
      <c r="B387" s="12">
        <v>43617</v>
      </c>
      <c r="C387" s="12">
        <v>43613</v>
      </c>
      <c r="D387" s="28">
        <v>666444.9</v>
      </c>
      <c r="E387" s="28">
        <v>246.735276</v>
      </c>
      <c r="F387" s="28">
        <v>30650.799999999999</v>
      </c>
      <c r="G387" s="28">
        <v>131.56282999999999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4">
        <v>23</v>
      </c>
      <c r="B388" s="12">
        <v>43624</v>
      </c>
      <c r="C388" s="12">
        <v>43620</v>
      </c>
      <c r="D388" s="28">
        <v>658664.69999999995</v>
      </c>
      <c r="E388" s="28">
        <v>247.457818</v>
      </c>
      <c r="F388" s="28">
        <v>36694.9</v>
      </c>
      <c r="G388" s="28">
        <v>136.32246699999999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4">
        <v>24</v>
      </c>
      <c r="B389" s="12">
        <v>43631</v>
      </c>
      <c r="C389" s="12">
        <v>43627</v>
      </c>
      <c r="D389" s="28">
        <v>739582</v>
      </c>
      <c r="E389" s="28">
        <v>255.52237400000001</v>
      </c>
      <c r="F389" s="28">
        <v>40145.800000000003</v>
      </c>
      <c r="G389" s="28">
        <v>134.307185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4">
        <v>25</v>
      </c>
      <c r="B390" s="12">
        <v>43638</v>
      </c>
      <c r="C390" s="12">
        <v>43634</v>
      </c>
      <c r="D390" s="28">
        <v>957017.8</v>
      </c>
      <c r="E390" s="28">
        <v>267.89172500000001</v>
      </c>
      <c r="F390" s="28">
        <v>33521.4</v>
      </c>
      <c r="G390" s="28">
        <v>135.47331500000001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4">
        <v>26</v>
      </c>
      <c r="B391" s="12">
        <v>43645</v>
      </c>
      <c r="C391" s="12">
        <v>43641</v>
      </c>
      <c r="D391" s="28">
        <v>996161.5</v>
      </c>
      <c r="E391" s="28">
        <v>266.360232</v>
      </c>
      <c r="F391" s="28">
        <v>50709.3</v>
      </c>
      <c r="G391" s="28">
        <v>138.92496800000001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4">
        <v>27</v>
      </c>
      <c r="B392" s="12">
        <v>43652</v>
      </c>
      <c r="C392" s="12">
        <v>43648</v>
      </c>
      <c r="D392" s="28">
        <v>819759.4</v>
      </c>
      <c r="E392" s="28">
        <v>254.865341</v>
      </c>
      <c r="F392" s="28">
        <v>35672.5</v>
      </c>
      <c r="G392" s="28">
        <v>141.825131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4">
        <v>28</v>
      </c>
      <c r="B393" s="12">
        <v>43659</v>
      </c>
      <c r="C393" s="12">
        <v>43655</v>
      </c>
      <c r="D393" s="28">
        <v>859234.8</v>
      </c>
      <c r="E393" s="28">
        <v>237.36518100000001</v>
      </c>
      <c r="F393" s="28">
        <v>65923</v>
      </c>
      <c r="G393" s="28">
        <v>130.83008599999999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4">
        <v>29</v>
      </c>
      <c r="B394" s="12">
        <v>43666</v>
      </c>
      <c r="C394" s="12">
        <v>43662</v>
      </c>
      <c r="D394" s="28">
        <v>890063.25</v>
      </c>
      <c r="E394" s="28">
        <v>248.568003</v>
      </c>
      <c r="F394" s="28">
        <v>53291</v>
      </c>
      <c r="G394" s="28">
        <v>140.20027200000001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4">
        <v>30</v>
      </c>
      <c r="B395" s="12">
        <v>43673</v>
      </c>
      <c r="C395" s="12">
        <v>43669</v>
      </c>
      <c r="D395" s="28">
        <v>1004044.8</v>
      </c>
      <c r="E395" s="28">
        <v>244.48294799999999</v>
      </c>
      <c r="F395" s="28">
        <v>57474.6</v>
      </c>
      <c r="G395" s="28">
        <v>134.05190400000001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4">
        <v>31</v>
      </c>
      <c r="B396" s="12">
        <v>43680</v>
      </c>
      <c r="C396" s="12">
        <v>43676</v>
      </c>
      <c r="D396" s="28">
        <v>1034747.7</v>
      </c>
      <c r="E396" s="28">
        <v>236.806354</v>
      </c>
      <c r="F396" s="28">
        <v>50461.2</v>
      </c>
      <c r="G396" s="28">
        <v>130.73813100000001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4">
        <v>32</v>
      </c>
      <c r="B397" s="12">
        <v>43687</v>
      </c>
      <c r="C397" s="12">
        <v>43683</v>
      </c>
      <c r="D397" s="28">
        <v>1027451.9</v>
      </c>
      <c r="E397" s="28">
        <v>236.83856</v>
      </c>
      <c r="F397" s="28">
        <v>47658.2</v>
      </c>
      <c r="G397" s="28">
        <v>131.24117100000001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4">
        <v>33</v>
      </c>
      <c r="B398" s="12">
        <v>43694</v>
      </c>
      <c r="C398" s="12">
        <v>43690</v>
      </c>
      <c r="D398" s="28">
        <v>930883.79</v>
      </c>
      <c r="E398" s="28">
        <v>228.78921800000001</v>
      </c>
      <c r="F398" s="28">
        <v>44262.2</v>
      </c>
      <c r="G398" s="28">
        <v>127.81161299999999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4">
        <v>34</v>
      </c>
      <c r="B399" s="12">
        <v>43701</v>
      </c>
      <c r="C399" s="12">
        <v>43697</v>
      </c>
      <c r="D399" s="28">
        <v>1002610.4</v>
      </c>
      <c r="E399" s="28">
        <v>231.050612</v>
      </c>
      <c r="F399" s="28">
        <v>53818.8</v>
      </c>
      <c r="G399" s="28">
        <v>134.77426399999999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4">
        <v>35</v>
      </c>
      <c r="B400" s="12">
        <v>43708</v>
      </c>
      <c r="C400" s="12">
        <v>43704</v>
      </c>
      <c r="D400" s="28">
        <v>1096144.3</v>
      </c>
      <c r="E400" s="28">
        <v>210.89564999999999</v>
      </c>
      <c r="F400" s="28">
        <v>60219.4</v>
      </c>
      <c r="G400" s="28">
        <v>132.48529300000001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4">
        <v>36</v>
      </c>
      <c r="B401" s="12">
        <v>43715</v>
      </c>
      <c r="C401" s="12">
        <v>43711</v>
      </c>
      <c r="D401" s="28">
        <v>1382501.7</v>
      </c>
      <c r="E401" s="28">
        <v>203.87572700000001</v>
      </c>
      <c r="F401" s="28">
        <v>31833.599999999999</v>
      </c>
      <c r="G401" s="28">
        <v>129.54711599999999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4">
        <v>37</v>
      </c>
      <c r="B402" s="12">
        <v>43722</v>
      </c>
      <c r="C402" s="12">
        <v>43719</v>
      </c>
      <c r="D402" s="28">
        <v>1228156.3999999999</v>
      </c>
      <c r="E402" s="28">
        <v>209.04701800000001</v>
      </c>
      <c r="F402" s="28">
        <v>57762.2</v>
      </c>
      <c r="G402" s="28">
        <v>135.609793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4">
        <v>38</v>
      </c>
      <c r="B403" s="12">
        <v>43729</v>
      </c>
      <c r="C403" s="12">
        <v>43725</v>
      </c>
      <c r="D403" s="28">
        <v>1445453.73</v>
      </c>
      <c r="E403" s="28">
        <v>208.229356</v>
      </c>
      <c r="F403" s="28">
        <v>59778.400000000001</v>
      </c>
      <c r="G403" s="28">
        <v>140.51791900000001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4">
        <v>39</v>
      </c>
      <c r="B404" s="12">
        <v>43736</v>
      </c>
      <c r="C404" s="12">
        <v>43732</v>
      </c>
      <c r="D404" s="28">
        <v>1049253.6000000001</v>
      </c>
      <c r="E404" s="28">
        <v>205.266201</v>
      </c>
      <c r="F404" s="28">
        <v>52829.4</v>
      </c>
      <c r="G404" s="28">
        <v>136.639128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4">
        <v>40</v>
      </c>
      <c r="B405" s="12">
        <v>43743</v>
      </c>
      <c r="C405" s="12">
        <v>43738</v>
      </c>
      <c r="D405" s="28">
        <v>1180207.8</v>
      </c>
      <c r="E405" s="28">
        <v>202.13198700000001</v>
      </c>
      <c r="F405" s="28">
        <v>54549.2</v>
      </c>
      <c r="G405" s="28">
        <v>142.74516199999999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4">
        <v>41</v>
      </c>
      <c r="B406" s="12">
        <v>43750</v>
      </c>
      <c r="C406" s="12"/>
      <c r="D406" s="28">
        <v>0</v>
      </c>
      <c r="E406" s="28">
        <v>0</v>
      </c>
      <c r="F406" s="28">
        <v>0</v>
      </c>
      <c r="G406" s="28">
        <v>0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4">
        <v>42</v>
      </c>
      <c r="B407" s="12">
        <v>43757</v>
      </c>
      <c r="C407" s="12">
        <v>43753</v>
      </c>
      <c r="D407" s="28">
        <v>912602.42</v>
      </c>
      <c r="E407" s="28">
        <v>210.275959</v>
      </c>
      <c r="F407" s="28">
        <v>45971</v>
      </c>
      <c r="G407" s="28">
        <v>116.435557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4">
        <v>43</v>
      </c>
      <c r="B408" s="12">
        <v>43764</v>
      </c>
      <c r="C408" s="12">
        <v>43760</v>
      </c>
      <c r="D408" s="28">
        <v>1085193.1000000001</v>
      </c>
      <c r="E408" s="28">
        <v>214.910303</v>
      </c>
      <c r="F408" s="28">
        <v>45426.2</v>
      </c>
      <c r="G408" s="28">
        <v>120.159308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4">
        <v>44</v>
      </c>
      <c r="B409" s="12">
        <v>43771</v>
      </c>
      <c r="C409" s="12">
        <v>43768</v>
      </c>
      <c r="D409" s="28">
        <v>1172278.7</v>
      </c>
      <c r="E409" s="28">
        <v>209.97897399999999</v>
      </c>
      <c r="F409" s="28">
        <v>47084.4</v>
      </c>
      <c r="G409" s="28">
        <v>132.04431600000001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4">
        <v>45</v>
      </c>
      <c r="B410" s="12">
        <v>43778</v>
      </c>
      <c r="C410" s="12">
        <v>43775</v>
      </c>
      <c r="D410" s="28">
        <v>758073.9</v>
      </c>
      <c r="E410" s="28">
        <v>206.929552</v>
      </c>
      <c r="F410" s="28">
        <v>43636.2</v>
      </c>
      <c r="G410" s="28">
        <v>135.44009700000001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4">
        <v>46</v>
      </c>
      <c r="B411" s="12">
        <v>43785</v>
      </c>
      <c r="C411" s="12">
        <v>43782</v>
      </c>
      <c r="D411" s="28">
        <v>792085</v>
      </c>
      <c r="E411" s="28">
        <v>199.88951599999999</v>
      </c>
      <c r="F411" s="28">
        <v>44947</v>
      </c>
      <c r="G411" s="28">
        <v>135.15199200000001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4">
        <v>47</v>
      </c>
      <c r="B412" s="12">
        <v>43792</v>
      </c>
      <c r="C412" s="12">
        <v>43788</v>
      </c>
      <c r="D412" s="28">
        <v>865996.9</v>
      </c>
      <c r="E412" s="28">
        <v>207.68596600000001</v>
      </c>
      <c r="F412" s="28">
        <v>51832.2</v>
      </c>
      <c r="G412" s="28">
        <v>134.456963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4">
        <v>48</v>
      </c>
      <c r="B413" s="12">
        <v>43799</v>
      </c>
      <c r="C413" s="12">
        <v>43795</v>
      </c>
      <c r="D413" s="28">
        <v>818025</v>
      </c>
      <c r="E413" s="28">
        <v>198.411969</v>
      </c>
      <c r="F413" s="28">
        <v>40628.800000000003</v>
      </c>
      <c r="G413" s="28">
        <v>128.89482799999999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4">
        <v>49</v>
      </c>
      <c r="B414" s="12">
        <v>43806</v>
      </c>
      <c r="C414" s="12">
        <v>43802</v>
      </c>
      <c r="D414" s="28">
        <v>887323</v>
      </c>
      <c r="E414" s="28">
        <v>202.50286399999999</v>
      </c>
      <c r="F414" s="28">
        <v>57901.1</v>
      </c>
      <c r="G414" s="28">
        <v>127.477609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4">
        <v>50</v>
      </c>
      <c r="B415" s="12">
        <v>43813</v>
      </c>
      <c r="C415" s="12">
        <v>43809</v>
      </c>
      <c r="D415" s="28">
        <v>887407.5</v>
      </c>
      <c r="E415" s="28">
        <v>199.091421</v>
      </c>
      <c r="F415" s="28">
        <v>57293.8</v>
      </c>
      <c r="G415" s="28">
        <v>124.91945200000001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4">
        <v>51</v>
      </c>
      <c r="B416" s="12">
        <v>43820</v>
      </c>
      <c r="C416" s="12">
        <v>43816</v>
      </c>
      <c r="D416" s="28">
        <v>917527.8</v>
      </c>
      <c r="E416" s="28">
        <v>195.05478600000001</v>
      </c>
      <c r="F416" s="28">
        <v>51160.6</v>
      </c>
      <c r="G416" s="28">
        <v>124.474024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4">
        <v>52</v>
      </c>
      <c r="B417" s="12">
        <v>43827</v>
      </c>
      <c r="C417" s="12">
        <v>43823</v>
      </c>
      <c r="D417" s="28">
        <v>890201.1</v>
      </c>
      <c r="E417" s="28">
        <v>183.65543099999999</v>
      </c>
      <c r="F417" s="28">
        <v>53270</v>
      </c>
      <c r="G417" s="28">
        <v>123.671601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4">
        <v>1</v>
      </c>
      <c r="B418" s="15">
        <v>43834</v>
      </c>
      <c r="C418" s="15">
        <v>43831</v>
      </c>
      <c r="D418" s="28">
        <v>770950.7</v>
      </c>
      <c r="E418" s="28">
        <v>181.005009</v>
      </c>
      <c r="F418" s="28">
        <v>56437.9</v>
      </c>
      <c r="G418" s="28">
        <v>114.67165300000001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4">
        <v>2</v>
      </c>
      <c r="B419" s="15">
        <v>43841</v>
      </c>
      <c r="C419" s="15">
        <v>43837</v>
      </c>
      <c r="D419" s="28">
        <v>671151.2</v>
      </c>
      <c r="E419" s="28">
        <v>155.977814</v>
      </c>
      <c r="F419" s="28">
        <v>31474.1</v>
      </c>
      <c r="G419" s="28">
        <v>109.24365400000001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4">
        <v>3</v>
      </c>
      <c r="B420" s="15">
        <v>43848</v>
      </c>
      <c r="C420" s="15">
        <v>43844</v>
      </c>
      <c r="D420" s="28">
        <v>674634</v>
      </c>
      <c r="E420" s="28">
        <v>147.642653</v>
      </c>
      <c r="F420" s="28">
        <v>85389.4</v>
      </c>
      <c r="G420" s="28">
        <v>94.406333000000004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4">
        <v>4</v>
      </c>
      <c r="B421" s="15">
        <v>43855</v>
      </c>
      <c r="C421" s="15">
        <v>43851</v>
      </c>
      <c r="D421" s="28">
        <v>777672.2</v>
      </c>
      <c r="E421" s="28">
        <v>135.401882</v>
      </c>
      <c r="F421" s="28">
        <v>76161</v>
      </c>
      <c r="G421" s="28">
        <v>89.118772000000007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4">
        <v>5</v>
      </c>
      <c r="B422" s="15">
        <v>43862</v>
      </c>
      <c r="C422" s="15">
        <v>43858</v>
      </c>
      <c r="D422" s="28">
        <v>861901.33</v>
      </c>
      <c r="E422" s="28">
        <v>138.389996</v>
      </c>
      <c r="F422" s="28">
        <v>78567.899999999994</v>
      </c>
      <c r="G422" s="28">
        <v>77.853492000000003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4">
        <v>6</v>
      </c>
      <c r="B423" s="15">
        <v>43869</v>
      </c>
      <c r="C423" s="15">
        <v>43865</v>
      </c>
      <c r="D423" s="28">
        <v>817835.9</v>
      </c>
      <c r="E423" s="28">
        <v>128.779741</v>
      </c>
      <c r="F423" s="28">
        <v>138408.1</v>
      </c>
      <c r="G423" s="28">
        <v>64.362779000000003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4">
        <v>7</v>
      </c>
      <c r="B424" s="15">
        <v>43876</v>
      </c>
      <c r="C424" s="15">
        <v>43872</v>
      </c>
      <c r="D424" s="28">
        <v>722444.1</v>
      </c>
      <c r="E424" s="28">
        <v>130.553541</v>
      </c>
      <c r="F424" s="28">
        <v>63142.9</v>
      </c>
      <c r="G424" s="28">
        <v>65.611819999999994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4">
        <v>8</v>
      </c>
      <c r="B425" s="15">
        <v>43883</v>
      </c>
      <c r="C425" s="15">
        <v>43879</v>
      </c>
      <c r="D425" s="28">
        <v>842899.6</v>
      </c>
      <c r="E425" s="28">
        <v>137.74697</v>
      </c>
      <c r="F425" s="28">
        <v>35758.199999999997</v>
      </c>
      <c r="G425" s="28">
        <v>61.047362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4">
        <v>9</v>
      </c>
      <c r="B426" s="15">
        <v>43890</v>
      </c>
      <c r="C426" s="15">
        <v>43886</v>
      </c>
      <c r="D426" s="28">
        <v>701697.5</v>
      </c>
      <c r="E426" s="28">
        <v>134.078498</v>
      </c>
      <c r="F426" s="28">
        <v>100808.2</v>
      </c>
      <c r="G426" s="28">
        <v>55.989629000000001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4">
        <v>10</v>
      </c>
      <c r="B427" s="15">
        <v>43897</v>
      </c>
      <c r="C427" s="15">
        <v>43893</v>
      </c>
      <c r="D427" s="28">
        <v>274080.8</v>
      </c>
      <c r="E427" s="28">
        <v>132.45643200000001</v>
      </c>
      <c r="F427" s="28">
        <v>47904.3</v>
      </c>
      <c r="G427" s="28">
        <v>59.511212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4">
        <v>11</v>
      </c>
      <c r="B428" s="15">
        <v>43904</v>
      </c>
      <c r="C428" s="15">
        <v>43901</v>
      </c>
      <c r="D428" s="28">
        <v>0</v>
      </c>
      <c r="E428" s="28">
        <v>0</v>
      </c>
      <c r="F428" s="28">
        <v>47697.599999999999</v>
      </c>
      <c r="G428" s="28">
        <v>55.251869999999997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4">
        <v>12</v>
      </c>
      <c r="B429" s="15">
        <v>43911</v>
      </c>
      <c r="C429" s="15">
        <v>43907</v>
      </c>
      <c r="D429" s="28">
        <v>183829.9</v>
      </c>
      <c r="E429" s="28">
        <v>142.286372</v>
      </c>
      <c r="F429" s="28">
        <v>27450.2</v>
      </c>
      <c r="G429" s="28">
        <v>52.442357000000001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4">
        <v>13</v>
      </c>
      <c r="B430" s="15">
        <v>43918</v>
      </c>
      <c r="C430" s="12"/>
      <c r="D430" s="28">
        <v>0</v>
      </c>
      <c r="E430" s="28">
        <v>0</v>
      </c>
      <c r="F430" s="28">
        <v>0</v>
      </c>
      <c r="G430" s="28">
        <v>0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4">
        <v>14</v>
      </c>
      <c r="B431" s="15">
        <v>43925</v>
      </c>
      <c r="C431" s="12"/>
      <c r="D431" s="28">
        <v>0</v>
      </c>
      <c r="E431" s="28">
        <v>0</v>
      </c>
      <c r="F431" s="28">
        <v>0</v>
      </c>
      <c r="G431" s="28">
        <v>0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4">
        <v>15</v>
      </c>
      <c r="B432" s="15">
        <v>43932</v>
      </c>
      <c r="C432" s="12"/>
      <c r="D432" s="28">
        <v>0</v>
      </c>
      <c r="E432" s="28">
        <v>0</v>
      </c>
      <c r="F432" s="28">
        <v>0</v>
      </c>
      <c r="G432" s="28">
        <v>0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4">
        <v>16</v>
      </c>
      <c r="B433" s="15">
        <v>43939</v>
      </c>
      <c r="C433" s="12"/>
      <c r="D433" s="28">
        <v>0</v>
      </c>
      <c r="E433" s="28">
        <v>0</v>
      </c>
      <c r="F433" s="28">
        <v>0</v>
      </c>
      <c r="G433" s="28">
        <v>0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4">
        <v>17</v>
      </c>
      <c r="B434" s="15">
        <v>43946</v>
      </c>
      <c r="C434" s="12"/>
      <c r="D434" s="28">
        <v>0</v>
      </c>
      <c r="E434" s="28">
        <v>0</v>
      </c>
      <c r="F434" s="28">
        <v>0</v>
      </c>
      <c r="G434" s="28">
        <v>0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4">
        <v>18</v>
      </c>
      <c r="B435" s="15">
        <v>43953</v>
      </c>
      <c r="C435" s="12"/>
      <c r="D435" s="28">
        <v>0</v>
      </c>
      <c r="E435" s="28">
        <v>0</v>
      </c>
      <c r="F435" s="28">
        <v>0</v>
      </c>
      <c r="G435" s="28">
        <v>0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4">
        <v>19</v>
      </c>
      <c r="B436" s="15">
        <v>43960</v>
      </c>
      <c r="C436" s="12"/>
      <c r="D436" s="28">
        <v>0</v>
      </c>
      <c r="E436" s="28">
        <v>0</v>
      </c>
      <c r="F436" s="28">
        <v>0</v>
      </c>
      <c r="G436" s="28">
        <v>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4">
        <v>20</v>
      </c>
      <c r="B437" s="15">
        <v>43967</v>
      </c>
      <c r="C437" s="15">
        <v>43963</v>
      </c>
      <c r="D437" s="28">
        <v>7403.2</v>
      </c>
      <c r="E437" s="28">
        <v>121.384441</v>
      </c>
      <c r="F437" s="29">
        <v>2361.4</v>
      </c>
      <c r="G437" s="29">
        <v>58.568561000000003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4">
        <v>21</v>
      </c>
      <c r="B438" s="15">
        <v>43974</v>
      </c>
      <c r="C438" s="12"/>
      <c r="D438" s="28">
        <v>0</v>
      </c>
      <c r="E438" s="28">
        <v>0</v>
      </c>
      <c r="F438" s="28">
        <v>0</v>
      </c>
      <c r="G438" s="28">
        <v>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4">
        <v>22</v>
      </c>
      <c r="B439" s="15">
        <v>43981</v>
      </c>
      <c r="C439" s="12"/>
      <c r="D439" s="28">
        <v>0</v>
      </c>
      <c r="E439" s="28">
        <v>0</v>
      </c>
      <c r="F439" s="28">
        <v>0</v>
      </c>
      <c r="G439" s="28">
        <v>0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4">
        <v>23</v>
      </c>
      <c r="B440" s="15">
        <v>43988</v>
      </c>
      <c r="C440" s="15">
        <v>43984</v>
      </c>
      <c r="D440" s="28">
        <v>652485.5</v>
      </c>
      <c r="E440" s="28">
        <v>256.32323700000001</v>
      </c>
      <c r="F440" s="28">
        <v>56931</v>
      </c>
      <c r="G440" s="28">
        <v>132.20207199999999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4">
        <v>24</v>
      </c>
      <c r="B441" s="15">
        <v>43995</v>
      </c>
      <c r="C441" s="15">
        <v>43993</v>
      </c>
      <c r="D441" s="28">
        <v>327270.40000000002</v>
      </c>
      <c r="E441" s="28">
        <v>281.718009</v>
      </c>
      <c r="F441" s="28">
        <v>13570.6</v>
      </c>
      <c r="G441" s="28">
        <v>154.86404400000001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4">
        <v>25</v>
      </c>
      <c r="B442" s="15">
        <v>44002</v>
      </c>
      <c r="C442" s="15">
        <v>43999</v>
      </c>
      <c r="D442" s="28">
        <v>419727.5</v>
      </c>
      <c r="E442" s="28">
        <v>306.74955199999999</v>
      </c>
      <c r="F442" s="28">
        <v>14984.4</v>
      </c>
      <c r="G442" s="28">
        <v>178.85159200000001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4">
        <v>26</v>
      </c>
      <c r="B443" s="15">
        <v>44009</v>
      </c>
      <c r="C443" s="15">
        <v>44004</v>
      </c>
      <c r="D443" s="28">
        <v>483750.65</v>
      </c>
      <c r="E443" s="28">
        <v>314.15162199999997</v>
      </c>
      <c r="F443" s="28">
        <v>39983</v>
      </c>
      <c r="G443" s="28">
        <v>145.78430800000001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4">
        <v>27</v>
      </c>
      <c r="B444" s="15">
        <v>44016</v>
      </c>
      <c r="C444" s="15">
        <v>44013</v>
      </c>
      <c r="D444" s="28">
        <v>738786.9</v>
      </c>
      <c r="E444" s="28">
        <v>336.30016999999998</v>
      </c>
      <c r="F444" s="28">
        <v>33752.5</v>
      </c>
      <c r="G444" s="28">
        <v>191.55123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4">
        <v>28</v>
      </c>
      <c r="B445" s="15">
        <v>44023</v>
      </c>
      <c r="C445" s="15">
        <v>44020</v>
      </c>
      <c r="D445" s="28">
        <v>711248.45</v>
      </c>
      <c r="E445" s="28">
        <v>325.83527099999998</v>
      </c>
      <c r="F445" s="28">
        <v>29862.6</v>
      </c>
      <c r="G445" s="28">
        <v>209.91168200000001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4">
        <v>29</v>
      </c>
      <c r="B446" s="15">
        <v>44030</v>
      </c>
      <c r="C446" s="15">
        <v>44027</v>
      </c>
      <c r="D446" s="28">
        <v>862893.4</v>
      </c>
      <c r="E446" s="28">
        <v>317.67885200000001</v>
      </c>
      <c r="F446" s="28">
        <v>41781.199999999997</v>
      </c>
      <c r="G446" s="28">
        <v>208.799814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4">
        <v>30</v>
      </c>
      <c r="B447" s="15">
        <v>44037</v>
      </c>
      <c r="C447" s="15">
        <v>44034</v>
      </c>
      <c r="D447" s="28">
        <v>729115.45</v>
      </c>
      <c r="E447" s="28">
        <v>298.757678</v>
      </c>
      <c r="F447" s="28">
        <v>47137.2</v>
      </c>
      <c r="G447" s="28">
        <v>203.11077800000001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4">
        <v>31</v>
      </c>
      <c r="B448" s="15">
        <v>44044</v>
      </c>
      <c r="C448" s="15">
        <v>44042</v>
      </c>
      <c r="D448" s="28">
        <v>865394.64</v>
      </c>
      <c r="E448" s="28">
        <v>279.14164599999998</v>
      </c>
      <c r="F448" s="28">
        <v>29176</v>
      </c>
      <c r="G448" s="28">
        <v>194.70181299999999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4">
        <v>32</v>
      </c>
      <c r="B449" s="15">
        <v>44051</v>
      </c>
      <c r="C449" s="15">
        <v>44049</v>
      </c>
      <c r="D449" s="28">
        <v>877357.8</v>
      </c>
      <c r="E449" s="28">
        <v>290.19595199999998</v>
      </c>
      <c r="F449" s="28">
        <v>32547.599999999999</v>
      </c>
      <c r="G449" s="28">
        <v>182.36040399999999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4">
        <v>33</v>
      </c>
      <c r="B450" s="15">
        <v>44058</v>
      </c>
      <c r="C450" s="15">
        <v>44055</v>
      </c>
      <c r="D450" s="28">
        <v>1046248.45</v>
      </c>
      <c r="E450" s="28">
        <v>292.41241600000001</v>
      </c>
      <c r="F450" s="28">
        <v>49939.199999999997</v>
      </c>
      <c r="G450" s="28">
        <v>176.784391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4">
        <v>34</v>
      </c>
      <c r="B451" s="15">
        <v>44065</v>
      </c>
      <c r="C451" s="15">
        <v>44061</v>
      </c>
      <c r="D451" s="28">
        <v>1142736.5</v>
      </c>
      <c r="E451" s="28">
        <v>291.85845999999998</v>
      </c>
      <c r="F451" s="28">
        <v>48804.5</v>
      </c>
      <c r="G451" s="28">
        <v>192.65384700000001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4">
        <v>35</v>
      </c>
      <c r="B452" s="15">
        <v>44072</v>
      </c>
      <c r="C452" s="15">
        <v>44068</v>
      </c>
      <c r="D452" s="28">
        <v>997115.4</v>
      </c>
      <c r="E452" s="28">
        <v>287.312679</v>
      </c>
      <c r="F452" s="28">
        <v>45934.7</v>
      </c>
      <c r="G452" s="28">
        <v>191.84241900000001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4">
        <v>36</v>
      </c>
      <c r="B453" s="15">
        <v>44079</v>
      </c>
      <c r="C453" s="15">
        <v>44076</v>
      </c>
      <c r="D453" s="28">
        <v>936613.5</v>
      </c>
      <c r="E453" s="28">
        <v>271.53605700000003</v>
      </c>
      <c r="F453" s="28">
        <v>59789.2</v>
      </c>
      <c r="G453" s="28">
        <v>190.47018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4">
        <v>37</v>
      </c>
      <c r="B454" s="15">
        <v>44086</v>
      </c>
      <c r="C454" s="12"/>
      <c r="D454" s="28">
        <v>0</v>
      </c>
      <c r="E454" s="28">
        <v>0</v>
      </c>
      <c r="F454" s="28">
        <v>0</v>
      </c>
      <c r="G454" s="28">
        <v>0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4">
        <v>38</v>
      </c>
      <c r="B455" s="15">
        <v>44093</v>
      </c>
      <c r="C455" s="15">
        <v>44088</v>
      </c>
      <c r="D455" s="28">
        <v>865348.8</v>
      </c>
      <c r="E455" s="28">
        <v>273.05056200000001</v>
      </c>
      <c r="F455" s="28">
        <v>61895.3</v>
      </c>
      <c r="G455" s="28">
        <v>189.13417000000001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4">
        <v>39</v>
      </c>
      <c r="B456" s="15">
        <v>44100</v>
      </c>
      <c r="C456" s="15">
        <v>44096</v>
      </c>
      <c r="D456" s="28">
        <v>970223.1</v>
      </c>
      <c r="E456" s="28">
        <v>279.19321100000002</v>
      </c>
      <c r="F456" s="28">
        <v>58493.599999999999</v>
      </c>
      <c r="G456" s="28">
        <v>183.045895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4">
        <v>40</v>
      </c>
      <c r="B457" s="15">
        <v>44107</v>
      </c>
      <c r="C457" s="15">
        <v>44103</v>
      </c>
      <c r="D457" s="28">
        <v>963954.8</v>
      </c>
      <c r="E457" s="28">
        <v>273.47466100000003</v>
      </c>
      <c r="F457" s="28">
        <v>66683.399999999994</v>
      </c>
      <c r="G457" s="28">
        <v>175.20338100000001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4">
        <v>41</v>
      </c>
      <c r="B458" s="15">
        <v>44114</v>
      </c>
      <c r="C458" s="15">
        <v>44110</v>
      </c>
      <c r="D458" s="28">
        <v>899197.9</v>
      </c>
      <c r="E458" s="28">
        <v>278.48909400000002</v>
      </c>
      <c r="F458" s="28">
        <v>41831.800000000003</v>
      </c>
      <c r="G458" s="28">
        <v>160.720122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4">
        <v>42</v>
      </c>
      <c r="B459" s="15">
        <v>44121</v>
      </c>
      <c r="C459" s="15">
        <v>44117</v>
      </c>
      <c r="D459" s="28">
        <v>762501.3</v>
      </c>
      <c r="E459" s="28">
        <v>262.37431500000002</v>
      </c>
      <c r="F459" s="28">
        <v>41051</v>
      </c>
      <c r="G459" s="28">
        <v>163.34582800000001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4">
        <v>43</v>
      </c>
      <c r="B460" s="15">
        <v>44128</v>
      </c>
      <c r="C460" s="15">
        <v>44124</v>
      </c>
      <c r="D460" s="28">
        <v>504210.5</v>
      </c>
      <c r="E460" s="28">
        <v>240.76021399999999</v>
      </c>
      <c r="F460" s="28">
        <v>26828.799999999999</v>
      </c>
      <c r="G460" s="28">
        <v>164.48028199999999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4">
        <v>44</v>
      </c>
      <c r="B461" s="15">
        <v>44135</v>
      </c>
      <c r="C461" s="12"/>
      <c r="D461" s="28">
        <v>0</v>
      </c>
      <c r="E461" s="28">
        <v>0</v>
      </c>
      <c r="F461" s="28">
        <v>0</v>
      </c>
      <c r="G461" s="28">
        <v>0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4">
        <v>45</v>
      </c>
      <c r="B462" s="15">
        <v>44142</v>
      </c>
      <c r="C462" s="15">
        <v>44138</v>
      </c>
      <c r="D462" s="28">
        <v>719178.8</v>
      </c>
      <c r="E462" s="28">
        <v>241.868526</v>
      </c>
      <c r="F462" s="28">
        <v>50803.1</v>
      </c>
      <c r="G462" s="28">
        <v>150.65137899999999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4">
        <v>46</v>
      </c>
      <c r="B463" s="15">
        <v>44149</v>
      </c>
      <c r="C463" s="15">
        <v>44145</v>
      </c>
      <c r="D463" s="28">
        <v>979582.2</v>
      </c>
      <c r="E463" s="28">
        <v>238.349942</v>
      </c>
      <c r="F463" s="28">
        <v>41665.699999999997</v>
      </c>
      <c r="G463" s="28">
        <v>135.91638900000001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4">
        <v>47</v>
      </c>
      <c r="B464" s="15">
        <v>44156</v>
      </c>
      <c r="C464" s="15">
        <v>44153</v>
      </c>
      <c r="D464" s="28">
        <v>1271802</v>
      </c>
      <c r="E464" s="28">
        <v>240.69004200000001</v>
      </c>
      <c r="F464" s="28">
        <v>39233</v>
      </c>
      <c r="G464" s="28">
        <v>126.739163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4">
        <v>48</v>
      </c>
      <c r="B465" s="15">
        <v>44163</v>
      </c>
      <c r="C465" s="15">
        <v>44160</v>
      </c>
      <c r="D465" s="28">
        <v>1170618.8999999999</v>
      </c>
      <c r="E465" s="28">
        <v>236.06460000000001</v>
      </c>
      <c r="F465" s="28">
        <v>35661.699999999997</v>
      </c>
      <c r="G465" s="28">
        <v>125.855208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4">
        <v>49</v>
      </c>
      <c r="B466" s="15">
        <v>44170</v>
      </c>
      <c r="C466" s="15">
        <v>44167</v>
      </c>
      <c r="D466" s="28">
        <v>1328059.7</v>
      </c>
      <c r="E466" s="28">
        <v>227.16799</v>
      </c>
      <c r="F466" s="28">
        <v>46961.8</v>
      </c>
      <c r="G466" s="28">
        <v>114.687737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4">
        <v>50</v>
      </c>
      <c r="B467" s="15">
        <v>44177</v>
      </c>
      <c r="C467" s="15">
        <v>44174</v>
      </c>
      <c r="D467" s="28">
        <v>1230254.76</v>
      </c>
      <c r="E467" s="28">
        <v>226.14790400000001</v>
      </c>
      <c r="F467" s="28">
        <v>64423.3</v>
      </c>
      <c r="G467" s="28">
        <v>117.749576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4">
        <v>51</v>
      </c>
      <c r="B468" s="15">
        <v>44184</v>
      </c>
      <c r="C468" s="15">
        <v>44180</v>
      </c>
      <c r="D468" s="28">
        <v>1145150</v>
      </c>
      <c r="E468" s="28">
        <v>223.40359799999999</v>
      </c>
      <c r="F468" s="28">
        <v>34875.300000000003</v>
      </c>
      <c r="G468" s="28">
        <v>111.30144199999999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4">
        <v>52</v>
      </c>
      <c r="B469" s="15">
        <v>44191</v>
      </c>
      <c r="C469" s="15">
        <v>44187</v>
      </c>
      <c r="D469" s="28">
        <v>1079032</v>
      </c>
      <c r="E469" s="28">
        <v>218.80921699999999</v>
      </c>
      <c r="F469" s="28">
        <v>47624.4</v>
      </c>
      <c r="G469" s="28">
        <v>118.35051900000001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4">
        <v>1</v>
      </c>
      <c r="B470" s="15">
        <v>44205</v>
      </c>
      <c r="C470" s="15">
        <v>44201</v>
      </c>
      <c r="D470" s="28">
        <v>944519.1</v>
      </c>
      <c r="E470" s="28">
        <v>215.77967200000001</v>
      </c>
      <c r="F470" s="28">
        <v>91184.3</v>
      </c>
      <c r="G470" s="28">
        <v>110.02552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4">
        <v>2</v>
      </c>
      <c r="B471" s="15">
        <v>44212</v>
      </c>
      <c r="C471" s="15">
        <v>44209</v>
      </c>
      <c r="D471" s="28">
        <v>853948.4</v>
      </c>
      <c r="E471" s="28">
        <v>219.68749800000001</v>
      </c>
      <c r="F471" s="28">
        <v>80532.100000000006</v>
      </c>
      <c r="G471" s="28">
        <v>109.97986299999999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4">
        <v>3</v>
      </c>
      <c r="B472" s="15">
        <v>44219</v>
      </c>
      <c r="C472" s="15">
        <v>44215</v>
      </c>
      <c r="D472" s="28">
        <v>785546.2</v>
      </c>
      <c r="E472" s="28">
        <v>223.22058999999999</v>
      </c>
      <c r="F472" s="28">
        <v>96731.3</v>
      </c>
      <c r="G472" s="28">
        <v>105.041872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4">
        <v>4</v>
      </c>
      <c r="B473" s="15">
        <v>44226</v>
      </c>
      <c r="C473" s="15">
        <v>44223</v>
      </c>
      <c r="D473" s="28">
        <v>581396.1</v>
      </c>
      <c r="E473" s="28">
        <v>211.41207299999999</v>
      </c>
      <c r="F473" s="28">
        <v>59453.8</v>
      </c>
      <c r="G473" s="28">
        <v>99.027277999999995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4">
        <v>5</v>
      </c>
      <c r="B474" s="15">
        <v>44233</v>
      </c>
      <c r="C474" s="15">
        <v>44229</v>
      </c>
      <c r="D474" s="28">
        <v>510274.7</v>
      </c>
      <c r="E474" s="28">
        <v>193.14542499999999</v>
      </c>
      <c r="F474" s="28">
        <v>94250.1</v>
      </c>
      <c r="G474" s="28">
        <v>97.877263999999997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4">
        <v>6</v>
      </c>
      <c r="B475" s="15">
        <v>44240</v>
      </c>
      <c r="C475" s="15">
        <v>44236</v>
      </c>
      <c r="D475" s="28">
        <v>323170.08</v>
      </c>
      <c r="E475" s="28">
        <v>171.44245799999999</v>
      </c>
      <c r="F475" s="28">
        <v>42454.9</v>
      </c>
      <c r="G475" s="28">
        <v>102.228864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4">
        <v>7</v>
      </c>
      <c r="B476" s="15">
        <v>44247</v>
      </c>
      <c r="C476" s="15">
        <v>44244</v>
      </c>
      <c r="D476" s="28">
        <v>169466.1</v>
      </c>
      <c r="E476" s="28">
        <v>211.155587</v>
      </c>
      <c r="F476" s="28">
        <v>12553.4</v>
      </c>
      <c r="G476" s="28">
        <v>110.427931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4">
        <v>8</v>
      </c>
      <c r="B477" s="15">
        <v>44254</v>
      </c>
      <c r="C477" s="15">
        <v>44250</v>
      </c>
      <c r="D477" s="28">
        <v>44560.5</v>
      </c>
      <c r="E477" s="28">
        <v>229.74487199999999</v>
      </c>
      <c r="F477" s="28">
        <v>16986.2</v>
      </c>
      <c r="G477" s="28">
        <v>107.879007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4">
        <v>9</v>
      </c>
      <c r="B478" s="15">
        <v>44261</v>
      </c>
      <c r="C478" s="15">
        <v>44257</v>
      </c>
      <c r="D478" s="28">
        <v>0</v>
      </c>
      <c r="E478" s="28">
        <v>0</v>
      </c>
      <c r="F478" s="28">
        <v>8338.2000000000007</v>
      </c>
      <c r="G478" s="28">
        <v>108.11945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4">
        <v>10</v>
      </c>
      <c r="B479" s="15">
        <v>44268</v>
      </c>
      <c r="C479" s="15">
        <v>44264</v>
      </c>
      <c r="D479" s="28">
        <v>0</v>
      </c>
      <c r="E479" s="28">
        <v>0</v>
      </c>
      <c r="F479" s="28">
        <v>24803.8</v>
      </c>
      <c r="G479" s="28">
        <v>115.353212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4">
        <v>11</v>
      </c>
      <c r="B480" s="15">
        <v>44275</v>
      </c>
      <c r="C480" s="12"/>
      <c r="D480" s="28">
        <v>0</v>
      </c>
      <c r="E480" s="28">
        <v>0</v>
      </c>
      <c r="F480" s="28">
        <v>0</v>
      </c>
      <c r="G480" s="28">
        <v>0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4">
        <v>12</v>
      </c>
      <c r="B481" s="15">
        <v>44282</v>
      </c>
      <c r="C481" s="15">
        <v>44278</v>
      </c>
      <c r="D481" s="28">
        <v>50440.7</v>
      </c>
      <c r="E481" s="28">
        <v>196.16676200000001</v>
      </c>
      <c r="F481" s="28">
        <v>24570</v>
      </c>
      <c r="G481" s="28">
        <v>98.075310999999999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4">
        <v>13</v>
      </c>
      <c r="B482" s="15">
        <v>44289</v>
      </c>
      <c r="C482" s="12"/>
      <c r="D482" s="28">
        <v>0</v>
      </c>
      <c r="E482" s="28">
        <v>0</v>
      </c>
      <c r="F482" s="28">
        <v>0</v>
      </c>
      <c r="G482" s="28">
        <v>0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4">
        <v>14</v>
      </c>
      <c r="B483" s="15">
        <v>44296</v>
      </c>
      <c r="C483" s="15">
        <v>44292</v>
      </c>
      <c r="D483" s="28">
        <v>92820</v>
      </c>
      <c r="E483" s="28">
        <v>265.57088800000002</v>
      </c>
      <c r="F483" s="28">
        <v>2856.4</v>
      </c>
      <c r="G483" s="28">
        <v>138.42465999999999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4">
        <v>15</v>
      </c>
      <c r="B484" s="15">
        <v>44303</v>
      </c>
      <c r="C484" s="15">
        <v>44299</v>
      </c>
      <c r="D484" s="28">
        <v>162613.20000000001</v>
      </c>
      <c r="E484" s="28">
        <v>256.06147099999998</v>
      </c>
      <c r="F484" s="28">
        <v>5524.9</v>
      </c>
      <c r="G484" s="28">
        <v>159.155224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4">
        <v>16</v>
      </c>
      <c r="B485" s="15">
        <v>44310</v>
      </c>
      <c r="C485" s="15">
        <v>44306</v>
      </c>
      <c r="D485" s="28">
        <v>361876.1</v>
      </c>
      <c r="E485" s="28">
        <v>253.58187799999999</v>
      </c>
      <c r="F485" s="28">
        <v>7573.2</v>
      </c>
      <c r="G485" s="28">
        <v>135.939761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4">
        <v>17</v>
      </c>
      <c r="B486" s="15">
        <v>44317</v>
      </c>
      <c r="C486" s="15">
        <v>44314</v>
      </c>
      <c r="D486" s="28">
        <v>471786.9</v>
      </c>
      <c r="E486" s="28">
        <v>254.06760700000001</v>
      </c>
      <c r="F486" s="28">
        <v>16263.2</v>
      </c>
      <c r="G486" s="28">
        <v>148.05967999999999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4">
        <v>18</v>
      </c>
      <c r="B487" s="15">
        <v>44324</v>
      </c>
      <c r="C487" s="15">
        <v>44321</v>
      </c>
      <c r="D487" s="28">
        <v>729789.3</v>
      </c>
      <c r="E487" s="28">
        <v>244.62907999999999</v>
      </c>
      <c r="F487" s="28">
        <v>16979</v>
      </c>
      <c r="G487" s="28">
        <v>132.358419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4">
        <v>19</v>
      </c>
      <c r="B488" s="15">
        <v>44331</v>
      </c>
      <c r="C488" s="15">
        <v>44328</v>
      </c>
      <c r="D488" s="28">
        <v>512038.1</v>
      </c>
      <c r="E488" s="28">
        <v>240.796716</v>
      </c>
      <c r="F488" s="28">
        <v>27326</v>
      </c>
      <c r="G488" s="28">
        <v>128.67853299999999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4">
        <v>20</v>
      </c>
      <c r="B489" s="15">
        <v>44338</v>
      </c>
      <c r="C489" s="15">
        <v>44336</v>
      </c>
      <c r="D489" s="28">
        <v>698693.5</v>
      </c>
      <c r="E489" s="28">
        <v>237.496847</v>
      </c>
      <c r="F489" s="29">
        <v>41088.5</v>
      </c>
      <c r="G489" s="29">
        <v>127.547866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4">
        <v>21</v>
      </c>
      <c r="B490" s="15">
        <v>44345</v>
      </c>
      <c r="C490" s="15"/>
      <c r="D490" s="28">
        <v>0</v>
      </c>
      <c r="E490" s="28">
        <v>0</v>
      </c>
      <c r="F490" s="28">
        <v>0</v>
      </c>
      <c r="G490" s="28">
        <v>0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4">
        <v>22</v>
      </c>
      <c r="B491" s="15">
        <v>44352</v>
      </c>
      <c r="C491" s="15">
        <v>44349</v>
      </c>
      <c r="D491" s="28">
        <v>735993.2</v>
      </c>
      <c r="E491" s="28">
        <v>248.54942600000001</v>
      </c>
      <c r="F491" s="28">
        <v>40468.699999999997</v>
      </c>
      <c r="G491" s="28">
        <v>132.79498899999999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4">
        <v>23</v>
      </c>
      <c r="B492" s="15">
        <v>44359</v>
      </c>
      <c r="C492" s="15">
        <v>44355</v>
      </c>
      <c r="D492" s="28">
        <v>1065716.8</v>
      </c>
      <c r="E492" s="28">
        <v>244.150893</v>
      </c>
      <c r="F492" s="28">
        <v>57968.2</v>
      </c>
      <c r="G492" s="28">
        <v>136.63862599999999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4">
        <v>24</v>
      </c>
      <c r="B493" s="15">
        <v>44366</v>
      </c>
      <c r="C493" s="15">
        <v>44363</v>
      </c>
      <c r="D493" s="28">
        <v>426094.4</v>
      </c>
      <c r="E493" s="28">
        <v>260.50886300000002</v>
      </c>
      <c r="F493" s="28">
        <v>24123.4</v>
      </c>
      <c r="G493" s="28">
        <v>138.26976199999999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4">
        <v>25</v>
      </c>
      <c r="B494" s="15">
        <v>44373</v>
      </c>
      <c r="C494" s="15">
        <v>44368</v>
      </c>
      <c r="D494" s="28">
        <v>467559.3</v>
      </c>
      <c r="E494" s="28">
        <v>277.66814299999999</v>
      </c>
      <c r="F494" s="28">
        <v>24350.400000000001</v>
      </c>
      <c r="G494" s="28">
        <v>138.630289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4">
        <v>26</v>
      </c>
      <c r="B495" s="15">
        <v>44380</v>
      </c>
      <c r="C495" s="15">
        <v>44377</v>
      </c>
      <c r="D495" s="28">
        <v>539363.19999999995</v>
      </c>
      <c r="E495" s="28">
        <v>283.14934299999999</v>
      </c>
      <c r="F495" s="28">
        <v>30184.799999999999</v>
      </c>
      <c r="G495" s="28">
        <v>138.85763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4">
        <v>27</v>
      </c>
      <c r="B496" s="15">
        <v>44387</v>
      </c>
      <c r="C496" s="15">
        <v>44384</v>
      </c>
      <c r="D496" s="28">
        <v>547873.1</v>
      </c>
      <c r="E496" s="28">
        <v>265.55825399999998</v>
      </c>
      <c r="F496" s="28">
        <v>33659.4</v>
      </c>
      <c r="G496" s="28">
        <v>136.60017099999999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4">
        <v>28</v>
      </c>
      <c r="B497" s="15">
        <v>44394</v>
      </c>
      <c r="C497" s="15">
        <v>44392</v>
      </c>
      <c r="D497" s="28">
        <v>679011.65</v>
      </c>
      <c r="E497" s="28">
        <v>260.57487500000002</v>
      </c>
      <c r="F497" s="28">
        <v>31607.3</v>
      </c>
      <c r="G497" s="28">
        <v>133.33470399999999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4">
        <v>29</v>
      </c>
      <c r="B498" s="15">
        <v>44401</v>
      </c>
      <c r="C498" s="15">
        <v>44401</v>
      </c>
      <c r="D498" s="28">
        <v>868533.9</v>
      </c>
      <c r="E498" s="28">
        <v>254.34090900000001</v>
      </c>
      <c r="F498" s="28">
        <v>39063</v>
      </c>
      <c r="G498" s="28">
        <v>129.529777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4">
        <v>30</v>
      </c>
      <c r="B499" s="15">
        <v>44408</v>
      </c>
      <c r="C499" s="15"/>
      <c r="D499" s="28">
        <v>1048685.95</v>
      </c>
      <c r="E499" s="28">
        <v>240.84898699999999</v>
      </c>
      <c r="F499" s="28">
        <v>17319.8</v>
      </c>
      <c r="G499" s="28">
        <v>124.532685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4">
        <v>31</v>
      </c>
      <c r="B500" s="15">
        <v>44415</v>
      </c>
      <c r="C500" s="15">
        <v>44415</v>
      </c>
      <c r="D500" s="28">
        <v>1263893.3500000001</v>
      </c>
      <c r="E500" s="28">
        <v>240.85722699999999</v>
      </c>
      <c r="F500" s="28">
        <v>47470.400000000001</v>
      </c>
      <c r="G500" s="28">
        <v>115.574682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4">
        <v>32</v>
      </c>
      <c r="B501" s="15">
        <v>44421</v>
      </c>
      <c r="C501" s="15">
        <v>44419</v>
      </c>
      <c r="D501" s="28">
        <v>1177832.6000000001</v>
      </c>
      <c r="E501" s="28">
        <v>239.85533000000001</v>
      </c>
      <c r="F501" s="28">
        <v>45206.5</v>
      </c>
      <c r="G501" s="28">
        <v>119.670503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4">
        <v>33</v>
      </c>
      <c r="B502" s="15">
        <v>44427</v>
      </c>
      <c r="C502" s="15">
        <v>44425</v>
      </c>
      <c r="D502" s="28">
        <v>1439088.4</v>
      </c>
      <c r="E502" s="28">
        <v>237.35512399999999</v>
      </c>
      <c r="F502" s="28">
        <v>43929.4</v>
      </c>
      <c r="G502" s="28">
        <v>119.105287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4">
        <v>34</v>
      </c>
      <c r="B503" s="15">
        <v>44436</v>
      </c>
      <c r="C503" s="15">
        <v>44432</v>
      </c>
      <c r="D503" s="28">
        <v>1229983.55</v>
      </c>
      <c r="E503" s="28">
        <v>236.27865800000001</v>
      </c>
      <c r="F503" s="28">
        <v>86870.7</v>
      </c>
      <c r="G503" s="28">
        <v>114.122162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4">
        <v>35</v>
      </c>
      <c r="B504" s="15">
        <v>44443</v>
      </c>
      <c r="C504" s="15">
        <v>44440</v>
      </c>
      <c r="D504" s="28">
        <v>1171615.8799999999</v>
      </c>
      <c r="E504" s="28">
        <v>240.391278</v>
      </c>
      <c r="F504" s="28">
        <v>49722.8</v>
      </c>
      <c r="G504" s="28">
        <v>113.346975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4">
        <v>36</v>
      </c>
      <c r="B505" s="15">
        <v>44450</v>
      </c>
      <c r="C505" s="15">
        <v>44448</v>
      </c>
      <c r="D505" s="28">
        <v>1292621.6000000001</v>
      </c>
      <c r="E505" s="28">
        <v>247.016558</v>
      </c>
      <c r="F505" s="28">
        <v>49923.9</v>
      </c>
      <c r="G505" s="28">
        <v>111.89228199999999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4">
        <v>37</v>
      </c>
      <c r="B506" s="15">
        <v>44457</v>
      </c>
      <c r="C506" s="15">
        <v>44455</v>
      </c>
      <c r="D506" s="28">
        <v>1162388.3999999999</v>
      </c>
      <c r="E506" s="28">
        <v>241.51849799999999</v>
      </c>
      <c r="F506" s="28">
        <v>49147.5</v>
      </c>
      <c r="G506" s="28">
        <v>109.441806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4">
        <v>38</v>
      </c>
      <c r="B507" s="15">
        <v>44464</v>
      </c>
      <c r="C507" s="15">
        <v>44460</v>
      </c>
      <c r="D507" s="28">
        <v>1444844.1</v>
      </c>
      <c r="E507" s="28">
        <v>246.62953400000001</v>
      </c>
      <c r="F507" s="28">
        <v>52755.4</v>
      </c>
      <c r="G507" s="28">
        <v>107.012224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4">
        <v>39</v>
      </c>
      <c r="B508" s="15">
        <v>44471</v>
      </c>
      <c r="C508" s="15">
        <v>44467</v>
      </c>
      <c r="D508" s="28">
        <v>1373386.7</v>
      </c>
      <c r="E508" s="28">
        <v>239.784581</v>
      </c>
      <c r="F508" s="28">
        <v>52657.599999999999</v>
      </c>
      <c r="G508" s="28">
        <v>106.18026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4">
        <v>40</v>
      </c>
      <c r="B509" s="15">
        <v>44478</v>
      </c>
      <c r="C509" s="15">
        <v>44474</v>
      </c>
      <c r="D509" s="28">
        <v>1363576.3</v>
      </c>
      <c r="E509" s="28">
        <v>237.78382300000001</v>
      </c>
      <c r="F509" s="28">
        <v>62751.3</v>
      </c>
      <c r="G509" s="28">
        <v>105.524511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4">
        <v>41</v>
      </c>
      <c r="B510" s="15">
        <v>44485</v>
      </c>
      <c r="C510" s="15"/>
      <c r="D510" s="28">
        <v>0</v>
      </c>
      <c r="E510" s="28">
        <v>0</v>
      </c>
      <c r="F510" s="28">
        <v>0</v>
      </c>
      <c r="G510" s="28">
        <v>0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4">
        <v>42</v>
      </c>
      <c r="B511" s="15">
        <v>44492</v>
      </c>
      <c r="C511" s="15">
        <v>44488</v>
      </c>
      <c r="D511" s="28">
        <v>1324206</v>
      </c>
      <c r="E511" s="28">
        <v>230.67147800000001</v>
      </c>
      <c r="F511" s="28">
        <v>60289</v>
      </c>
      <c r="G511" s="28">
        <v>104.50051499999999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4">
        <v>43</v>
      </c>
      <c r="B512" s="15">
        <v>44499</v>
      </c>
      <c r="C512" s="15">
        <v>44495</v>
      </c>
      <c r="D512" s="28">
        <v>1200104.2</v>
      </c>
      <c r="E512" s="28">
        <v>220.223533</v>
      </c>
      <c r="F512" s="28">
        <v>93670.2</v>
      </c>
      <c r="G512" s="28">
        <v>100.274981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4">
        <v>44</v>
      </c>
      <c r="B513" s="15">
        <v>44506</v>
      </c>
      <c r="C513" s="15">
        <v>44502</v>
      </c>
      <c r="D513" s="28">
        <v>1212471.6499999999</v>
      </c>
      <c r="E513" s="28">
        <v>218.88676599999999</v>
      </c>
      <c r="F513" s="28">
        <v>74815.100000000006</v>
      </c>
      <c r="G513" s="28">
        <v>101.53827699999999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4">
        <v>45</v>
      </c>
      <c r="B514" s="15">
        <v>44513</v>
      </c>
      <c r="C514" s="15">
        <v>44510</v>
      </c>
      <c r="D514" s="28">
        <v>1583700.5</v>
      </c>
      <c r="E514" s="28">
        <v>215.47255200000001</v>
      </c>
      <c r="F514" s="28">
        <v>82303.8</v>
      </c>
      <c r="G514" s="28">
        <v>98.890531999999993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4">
        <v>46</v>
      </c>
      <c r="B515" s="15">
        <v>44520</v>
      </c>
      <c r="C515" s="15">
        <v>44516</v>
      </c>
      <c r="D515" s="28">
        <v>1405963.1</v>
      </c>
      <c r="E515" s="28">
        <v>213.32069100000001</v>
      </c>
      <c r="F515" s="28">
        <v>64227.1</v>
      </c>
      <c r="G515" s="28">
        <v>100.72657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4">
        <v>47</v>
      </c>
      <c r="B516" s="15">
        <v>44527</v>
      </c>
      <c r="C516" s="15">
        <v>44523</v>
      </c>
      <c r="D516" s="28">
        <v>1189013.76</v>
      </c>
      <c r="E516" s="28">
        <v>212.56641500000001</v>
      </c>
      <c r="F516" s="28">
        <v>60471.6</v>
      </c>
      <c r="G516" s="28">
        <v>99.995474999999999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4">
        <v>48</v>
      </c>
      <c r="B517" s="15">
        <v>44534</v>
      </c>
      <c r="C517" s="15">
        <v>44530</v>
      </c>
      <c r="D517" s="28">
        <v>1232923.8999999999</v>
      </c>
      <c r="E517" s="28">
        <v>207.044881</v>
      </c>
      <c r="F517" s="28">
        <v>85254.6</v>
      </c>
      <c r="G517" s="28">
        <v>98.274809000000005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4">
        <v>49</v>
      </c>
      <c r="B518" s="15">
        <v>44541</v>
      </c>
      <c r="C518" s="15">
        <v>44537</v>
      </c>
      <c r="D518" s="28">
        <v>1109867.3999999999</v>
      </c>
      <c r="E518" s="28">
        <v>219.50484</v>
      </c>
      <c r="F518" s="28">
        <v>77136.800000000003</v>
      </c>
      <c r="G518" s="28">
        <v>100.518126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4">
        <v>50</v>
      </c>
      <c r="B519" s="15">
        <v>44548</v>
      </c>
      <c r="C519" s="15">
        <v>44544</v>
      </c>
      <c r="D519" s="28">
        <v>1186762.8</v>
      </c>
      <c r="E519" s="28">
        <v>198.46677099999999</v>
      </c>
      <c r="F519" s="28">
        <v>82132</v>
      </c>
      <c r="G519" s="28">
        <v>103.088562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4">
        <v>51</v>
      </c>
      <c r="B520" s="15">
        <v>44555</v>
      </c>
      <c r="C520" s="15">
        <v>44551</v>
      </c>
      <c r="D520" s="28">
        <v>977225.3</v>
      </c>
      <c r="E520" s="28">
        <v>195.12114399999999</v>
      </c>
      <c r="F520" s="28">
        <v>57939.4</v>
      </c>
      <c r="G520" s="28">
        <v>100.94383000000001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4">
        <v>52</v>
      </c>
      <c r="B521" s="15">
        <v>44555</v>
      </c>
      <c r="C521" s="15">
        <v>44558</v>
      </c>
      <c r="D521" s="28">
        <v>880957.97</v>
      </c>
      <c r="E521" s="28">
        <v>186.262495</v>
      </c>
      <c r="F521" s="28">
        <v>75528.399999999994</v>
      </c>
      <c r="G521" s="28">
        <v>101.741326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4">
        <v>1</v>
      </c>
      <c r="B522" s="15">
        <v>44569</v>
      </c>
      <c r="C522" s="15">
        <v>44565</v>
      </c>
      <c r="D522" s="28">
        <v>673338.9</v>
      </c>
      <c r="E522" s="28">
        <v>184.05167499999999</v>
      </c>
      <c r="F522" s="28">
        <v>69909.100000000006</v>
      </c>
      <c r="G522" s="28">
        <v>102.664843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4">
        <v>2</v>
      </c>
      <c r="B523" s="15">
        <v>44576</v>
      </c>
      <c r="C523" s="15">
        <v>44572</v>
      </c>
      <c r="D523" s="28">
        <v>541604.5</v>
      </c>
      <c r="E523" s="28">
        <v>175.48020500000001</v>
      </c>
      <c r="F523" s="28">
        <v>64000.6</v>
      </c>
      <c r="G523" s="28">
        <v>96.623653000000004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4">
        <v>3</v>
      </c>
      <c r="B524" s="15">
        <v>44583</v>
      </c>
      <c r="C524" s="15">
        <v>44579</v>
      </c>
      <c r="D524" s="28">
        <v>482395.8</v>
      </c>
      <c r="E524" s="28">
        <v>166.777152</v>
      </c>
      <c r="F524" s="28">
        <v>71438.2</v>
      </c>
      <c r="G524" s="28">
        <v>97.577558999999994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4">
        <v>4</v>
      </c>
      <c r="B525" s="15">
        <v>44590</v>
      </c>
      <c r="C525" s="15">
        <v>44593</v>
      </c>
      <c r="D525" s="28">
        <v>472582.3</v>
      </c>
      <c r="E525" s="28">
        <v>164.51508699999999</v>
      </c>
      <c r="F525" s="28">
        <v>84934.3</v>
      </c>
      <c r="G525" s="28">
        <v>85.803019000000006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4">
        <v>5</v>
      </c>
      <c r="B526" s="15">
        <v>44604</v>
      </c>
      <c r="C526" s="15">
        <v>44600</v>
      </c>
      <c r="D526" s="28">
        <v>161875.20000000001</v>
      </c>
      <c r="E526" s="28">
        <v>152.03389000000001</v>
      </c>
      <c r="F526" s="28">
        <v>27424.9</v>
      </c>
      <c r="G526" s="28">
        <v>93.988309000000001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4">
        <v>6</v>
      </c>
      <c r="B527" s="15">
        <v>44611</v>
      </c>
      <c r="C527" s="15"/>
      <c r="D527" s="28">
        <v>0</v>
      </c>
      <c r="E527" s="28">
        <v>0</v>
      </c>
      <c r="F527" s="28">
        <v>0</v>
      </c>
      <c r="G527" s="28">
        <v>0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4">
        <v>7</v>
      </c>
      <c r="B528" s="15">
        <v>44611</v>
      </c>
      <c r="C528" s="15"/>
      <c r="D528" s="28">
        <v>0</v>
      </c>
      <c r="E528" s="28">
        <v>0</v>
      </c>
      <c r="F528" s="28">
        <v>0</v>
      </c>
      <c r="G528" s="28">
        <v>0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4">
        <v>8</v>
      </c>
      <c r="B529" s="15">
        <v>44618</v>
      </c>
      <c r="C529" s="15">
        <v>44615</v>
      </c>
      <c r="D529" s="28">
        <v>186776</v>
      </c>
      <c r="E529" s="28">
        <v>167.61869799999999</v>
      </c>
      <c r="F529" s="28">
        <v>6440.6</v>
      </c>
      <c r="G529" s="28">
        <v>77.776977000000002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4">
        <v>9</v>
      </c>
      <c r="B530" s="15">
        <v>44625</v>
      </c>
      <c r="C530" s="12"/>
      <c r="D530" s="28">
        <v>0</v>
      </c>
      <c r="E530" s="28">
        <v>0</v>
      </c>
      <c r="F530" s="28">
        <v>0</v>
      </c>
      <c r="G530" s="28">
        <v>0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4">
        <v>10</v>
      </c>
      <c r="B531" s="15">
        <v>44632</v>
      </c>
      <c r="C531" s="15"/>
      <c r="D531" s="28">
        <v>0</v>
      </c>
      <c r="E531" s="28">
        <v>0</v>
      </c>
      <c r="F531" s="28">
        <v>0</v>
      </c>
      <c r="G531" s="28">
        <v>0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4">
        <v>11</v>
      </c>
      <c r="B532" s="15">
        <v>44639</v>
      </c>
      <c r="C532" s="12"/>
      <c r="D532" s="28">
        <v>0</v>
      </c>
      <c r="E532" s="28">
        <v>0</v>
      </c>
      <c r="F532" s="28">
        <v>0</v>
      </c>
      <c r="G532" s="28">
        <v>0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4">
        <v>12</v>
      </c>
      <c r="B533" s="15">
        <v>44646</v>
      </c>
      <c r="C533" s="15">
        <v>44643</v>
      </c>
      <c r="D533" s="28">
        <v>85242.6</v>
      </c>
      <c r="E533" s="28">
        <v>172.98746199999999</v>
      </c>
      <c r="F533" s="28">
        <v>2598.1999999999998</v>
      </c>
      <c r="G533" s="28">
        <v>63.633515000000003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4">
        <v>13</v>
      </c>
      <c r="B534" s="15">
        <v>44653</v>
      </c>
      <c r="C534" s="12"/>
      <c r="D534" s="28">
        <v>0</v>
      </c>
      <c r="E534" s="28">
        <v>0</v>
      </c>
      <c r="F534" s="28">
        <v>0</v>
      </c>
      <c r="G534" s="28">
        <v>0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4">
        <v>14</v>
      </c>
      <c r="B535" s="15">
        <v>44660</v>
      </c>
      <c r="C535" s="15">
        <v>44657</v>
      </c>
      <c r="D535" s="28">
        <v>117153.7</v>
      </c>
      <c r="E535" s="28">
        <v>188.367895</v>
      </c>
      <c r="F535" s="28">
        <v>557.20000000000005</v>
      </c>
      <c r="G535" s="28">
        <v>175.924982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4">
        <v>15</v>
      </c>
      <c r="B536" s="15">
        <v>44667</v>
      </c>
      <c r="C536" s="15">
        <v>44663</v>
      </c>
      <c r="D536" s="28">
        <v>137132.70000000001</v>
      </c>
      <c r="E536" s="28">
        <v>229.81975399999999</v>
      </c>
      <c r="F536" s="28">
        <v>3380</v>
      </c>
      <c r="G536" s="28">
        <v>157.401242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4">
        <v>16</v>
      </c>
      <c r="B537" s="15">
        <v>44674</v>
      </c>
      <c r="C537" s="15">
        <v>44671</v>
      </c>
      <c r="D537" s="28">
        <v>452567.3</v>
      </c>
      <c r="E537" s="28">
        <v>267.73640699999999</v>
      </c>
      <c r="F537" s="28">
        <v>9506.9</v>
      </c>
      <c r="G537" s="28">
        <v>154.39707999999999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4">
        <v>17</v>
      </c>
      <c r="B538" s="15">
        <v>44681</v>
      </c>
      <c r="C538" s="15">
        <v>44678</v>
      </c>
      <c r="D538" s="28">
        <v>436425.5</v>
      </c>
      <c r="E538" s="28">
        <v>280.13638300000002</v>
      </c>
      <c r="F538" s="28">
        <v>15933.4</v>
      </c>
      <c r="G538" s="28">
        <v>157.37918999999999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4">
        <v>18</v>
      </c>
      <c r="B539" s="15">
        <v>44688</v>
      </c>
      <c r="C539" s="15">
        <v>44685</v>
      </c>
      <c r="D539" s="28">
        <v>671278.2</v>
      </c>
      <c r="E539" s="28">
        <v>272.08072299999998</v>
      </c>
      <c r="F539" s="28">
        <v>29113.200000000001</v>
      </c>
      <c r="G539" s="28">
        <v>166.507082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4">
        <v>19</v>
      </c>
      <c r="B540" s="15">
        <v>44695</v>
      </c>
      <c r="C540" s="15">
        <v>44691</v>
      </c>
      <c r="D540" s="28">
        <v>386547</v>
      </c>
      <c r="E540" s="28">
        <v>265.85109299999999</v>
      </c>
      <c r="F540" s="28">
        <v>24803.4</v>
      </c>
      <c r="G540" s="28">
        <v>157.36463499999999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4">
        <v>20</v>
      </c>
      <c r="B541" s="15">
        <v>44702</v>
      </c>
      <c r="C541" s="15">
        <v>44699</v>
      </c>
      <c r="D541" s="28">
        <v>627314.18000000005</v>
      </c>
      <c r="E541" s="28">
        <v>259.35677199999998</v>
      </c>
      <c r="F541" s="29">
        <v>43283.3</v>
      </c>
      <c r="G541" s="29">
        <v>148.339158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4">
        <v>21</v>
      </c>
      <c r="B542" s="15">
        <v>44709</v>
      </c>
      <c r="C542" s="15">
        <v>44706</v>
      </c>
      <c r="D542" s="28">
        <v>453557.2</v>
      </c>
      <c r="E542" s="28">
        <v>261.48863999999998</v>
      </c>
      <c r="F542" s="28">
        <v>26635.7</v>
      </c>
      <c r="G542" s="28">
        <v>149.501631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4">
        <v>22</v>
      </c>
      <c r="B543" s="15">
        <v>44716</v>
      </c>
      <c r="C543" s="15">
        <v>44712</v>
      </c>
      <c r="D543" s="28">
        <v>519344</v>
      </c>
      <c r="E543" s="28">
        <v>270.09034400000002</v>
      </c>
      <c r="F543" s="28">
        <v>31787.3</v>
      </c>
      <c r="G543" s="28">
        <v>143.27641199999999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4">
        <v>23</v>
      </c>
      <c r="B544" s="15">
        <v>44723</v>
      </c>
      <c r="C544" s="15">
        <v>44719</v>
      </c>
      <c r="D544" s="28">
        <v>487196.7</v>
      </c>
      <c r="E544" s="28">
        <v>314.31925200000001</v>
      </c>
      <c r="F544" s="28">
        <v>30273</v>
      </c>
      <c r="G544" s="28">
        <v>146.98470499999999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4">
        <v>24</v>
      </c>
      <c r="B545" s="15">
        <v>44730</v>
      </c>
      <c r="C545" s="15">
        <v>44726</v>
      </c>
      <c r="D545" s="28">
        <v>729764.35</v>
      </c>
      <c r="E545" s="28">
        <v>367.16040199999998</v>
      </c>
      <c r="F545" s="28">
        <v>31538.400000000001</v>
      </c>
      <c r="G545" s="28">
        <v>157.28989999999999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4">
        <v>25</v>
      </c>
      <c r="B546" s="15">
        <v>44737</v>
      </c>
      <c r="C546" s="15">
        <v>44732</v>
      </c>
      <c r="D546" s="28">
        <v>711508.4</v>
      </c>
      <c r="E546" s="28">
        <v>375.16197099999999</v>
      </c>
      <c r="F546" s="28">
        <v>39768.5</v>
      </c>
      <c r="G546" s="28">
        <v>166.65331599999999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4">
        <v>26</v>
      </c>
      <c r="B547" s="15">
        <v>44744</v>
      </c>
      <c r="C547" s="15">
        <v>44740</v>
      </c>
      <c r="D547" s="28">
        <v>865675.05</v>
      </c>
      <c r="E547" s="28">
        <v>387.82618200000002</v>
      </c>
      <c r="F547" s="28">
        <v>30040.3</v>
      </c>
      <c r="G547" s="28">
        <v>163.56250700000001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4">
        <v>27</v>
      </c>
      <c r="B548" s="15">
        <v>44751</v>
      </c>
      <c r="C548" s="15">
        <v>44747</v>
      </c>
      <c r="D548" s="28">
        <v>976426.85</v>
      </c>
      <c r="E548" s="28">
        <v>366.85051299999998</v>
      </c>
      <c r="F548" s="28">
        <v>37442.800000000003</v>
      </c>
      <c r="G548" s="28">
        <v>163.051064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4">
        <v>28</v>
      </c>
      <c r="B549" s="15">
        <v>44758</v>
      </c>
      <c r="C549" s="15">
        <v>44754</v>
      </c>
      <c r="D549" s="28">
        <v>936034.4</v>
      </c>
      <c r="E549" s="28">
        <v>356.76356199999998</v>
      </c>
      <c r="F549" s="28">
        <v>38485.699999999997</v>
      </c>
      <c r="G549" s="28">
        <v>159.272277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4">
        <v>29</v>
      </c>
      <c r="B550" s="15">
        <v>44765</v>
      </c>
      <c r="C550" s="15">
        <v>44761</v>
      </c>
      <c r="D550" s="28">
        <v>1253502.7</v>
      </c>
      <c r="E550" s="28">
        <v>348.87787700000001</v>
      </c>
      <c r="F550" s="28">
        <v>63296.7</v>
      </c>
      <c r="G550" s="28">
        <v>154.741221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4">
        <v>30</v>
      </c>
      <c r="B551" s="15">
        <v>44772</v>
      </c>
      <c r="C551" s="15">
        <v>44768</v>
      </c>
      <c r="D551" s="28">
        <v>1293169.6499999999</v>
      </c>
      <c r="E551" s="28">
        <v>348.84040199999998</v>
      </c>
      <c r="F551" s="28">
        <v>54156.4</v>
      </c>
      <c r="G551" s="28">
        <v>146.438468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4">
        <v>31</v>
      </c>
      <c r="B552" s="15">
        <v>44779</v>
      </c>
      <c r="C552" s="15">
        <v>44775</v>
      </c>
      <c r="D552" s="28">
        <v>1309292.8700000001</v>
      </c>
      <c r="E552" s="28">
        <v>357.62293399999999</v>
      </c>
      <c r="F552" s="28">
        <v>46761.2</v>
      </c>
      <c r="G552" s="28">
        <v>145.80435900000001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4">
        <v>32</v>
      </c>
      <c r="B553" s="15">
        <v>44786</v>
      </c>
      <c r="C553" s="15">
        <v>44783</v>
      </c>
      <c r="D553" s="28">
        <v>1260148.8</v>
      </c>
      <c r="E553" s="28">
        <v>356.429981</v>
      </c>
      <c r="F553" s="28">
        <v>57518.2</v>
      </c>
      <c r="G553" s="28">
        <v>126.896811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4">
        <v>33</v>
      </c>
      <c r="B554" s="15">
        <v>44793</v>
      </c>
      <c r="C554" s="15">
        <v>44790</v>
      </c>
      <c r="D554" s="28">
        <v>1354064.07</v>
      </c>
      <c r="E554" s="28">
        <v>346.32192800000001</v>
      </c>
      <c r="F554" s="28">
        <v>58704.6</v>
      </c>
      <c r="G554" s="28">
        <v>138.58852200000001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4">
        <v>34</v>
      </c>
      <c r="B555" s="15">
        <v>44800</v>
      </c>
      <c r="C555" s="15">
        <v>44797</v>
      </c>
      <c r="D555" s="28">
        <v>1205934.3</v>
      </c>
      <c r="E555" s="28">
        <v>336.62796800000001</v>
      </c>
      <c r="F555" s="28">
        <v>52942.7</v>
      </c>
      <c r="G555" s="28">
        <v>136.37352200000001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4">
        <v>35</v>
      </c>
      <c r="B556" s="15">
        <v>44807</v>
      </c>
      <c r="C556" s="15">
        <v>44803</v>
      </c>
      <c r="D556" s="28">
        <v>1310219.3500000001</v>
      </c>
      <c r="E556" s="28">
        <v>316.37687099999999</v>
      </c>
      <c r="F556" s="28">
        <v>55603.3</v>
      </c>
      <c r="G556" s="28">
        <v>141.53269299999999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4">
        <v>36</v>
      </c>
      <c r="B557" s="15">
        <v>44814</v>
      </c>
      <c r="C557" s="15">
        <v>44810</v>
      </c>
      <c r="D557" s="28">
        <v>1558602.4</v>
      </c>
      <c r="E557" s="28">
        <v>303.69331199999999</v>
      </c>
      <c r="F557" s="28">
        <v>72331.199999999997</v>
      </c>
      <c r="G557" s="28">
        <v>139.81176500000001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4">
        <v>37</v>
      </c>
      <c r="B558" s="15">
        <v>44821</v>
      </c>
      <c r="C558" s="15">
        <v>44817</v>
      </c>
      <c r="D558" s="28">
        <v>1432299.05</v>
      </c>
      <c r="E558" s="28">
        <v>286.28684700000002</v>
      </c>
      <c r="F558" s="28">
        <v>50622.9</v>
      </c>
      <c r="G558" s="28">
        <v>125.638246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4">
        <v>38</v>
      </c>
      <c r="B559" s="15">
        <v>44828</v>
      </c>
      <c r="C559" s="15">
        <v>44824</v>
      </c>
      <c r="D559" s="28">
        <v>1522297.11</v>
      </c>
      <c r="E559" s="28">
        <v>277.46095300000002</v>
      </c>
      <c r="F559" s="28">
        <v>76542.5</v>
      </c>
      <c r="G559" s="28">
        <v>129.60820699999999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4">
        <v>39</v>
      </c>
      <c r="B560" s="15">
        <v>44835</v>
      </c>
      <c r="C560" s="15">
        <v>44831</v>
      </c>
      <c r="D560" s="28">
        <v>1581264.25</v>
      </c>
      <c r="E560" s="28">
        <v>271.74285900000001</v>
      </c>
      <c r="F560" s="28">
        <v>73237.8</v>
      </c>
      <c r="G560" s="28">
        <v>123.799087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4">
        <v>40</v>
      </c>
      <c r="B561" s="15">
        <v>44842</v>
      </c>
      <c r="C561" s="15"/>
      <c r="D561" s="28">
        <v>0</v>
      </c>
      <c r="E561" s="28">
        <v>0</v>
      </c>
      <c r="F561" s="28">
        <v>0</v>
      </c>
      <c r="G561" s="28">
        <v>0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4">
        <v>41</v>
      </c>
      <c r="B562" s="15">
        <v>44849</v>
      </c>
      <c r="C562" s="15">
        <v>44845</v>
      </c>
      <c r="D562" s="28">
        <v>1336704.58</v>
      </c>
      <c r="E562" s="28">
        <v>274.18578200000002</v>
      </c>
      <c r="F562" s="28">
        <v>53502.6</v>
      </c>
      <c r="G562" s="28">
        <v>128.92011600000001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4">
        <v>42</v>
      </c>
      <c r="B563" s="15">
        <v>44856</v>
      </c>
      <c r="C563" s="15">
        <v>44852</v>
      </c>
      <c r="D563" s="28">
        <v>1336778.7</v>
      </c>
      <c r="E563" s="28">
        <v>270.44752199999999</v>
      </c>
      <c r="F563" s="28">
        <v>57566.3</v>
      </c>
      <c r="G563" s="28">
        <v>133.74250900000001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4">
        <v>43</v>
      </c>
      <c r="B564" s="15">
        <v>44863</v>
      </c>
      <c r="C564" s="15">
        <v>44862</v>
      </c>
      <c r="D564" s="28">
        <v>1332967.6000000001</v>
      </c>
      <c r="E564" s="28">
        <v>289.13802800000002</v>
      </c>
      <c r="F564" s="28">
        <v>46611.9</v>
      </c>
      <c r="G564" s="28">
        <v>139.76181800000001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4">
        <v>44</v>
      </c>
      <c r="B565" s="15">
        <v>44870</v>
      </c>
      <c r="C565" s="15">
        <v>44867</v>
      </c>
      <c r="D565" s="28">
        <v>1256832.05</v>
      </c>
      <c r="E565" s="28">
        <v>291.966275</v>
      </c>
      <c r="F565" s="28">
        <v>44962.400000000001</v>
      </c>
      <c r="G565" s="28">
        <v>155.04537999999999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4">
        <v>45</v>
      </c>
      <c r="B566" s="15">
        <v>44877</v>
      </c>
      <c r="C566" s="15">
        <v>44874</v>
      </c>
      <c r="D566" s="28">
        <v>1491022.45</v>
      </c>
      <c r="E566" s="28">
        <v>296.39479599999999</v>
      </c>
      <c r="F566" s="28">
        <v>52714.5</v>
      </c>
      <c r="G566" s="28">
        <v>155.539073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4">
        <v>46</v>
      </c>
      <c r="B567" s="15">
        <v>44884</v>
      </c>
      <c r="C567" s="15">
        <v>44881</v>
      </c>
      <c r="D567" s="28">
        <v>1667410.1</v>
      </c>
      <c r="E567" s="28">
        <v>288.91550899999999</v>
      </c>
      <c r="F567" s="28">
        <v>54919</v>
      </c>
      <c r="G567" s="28">
        <v>160.595651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4">
        <v>47</v>
      </c>
      <c r="B568" s="15">
        <v>44891</v>
      </c>
      <c r="C568" s="15">
        <v>44887</v>
      </c>
      <c r="D568" s="28">
        <v>1426194.8</v>
      </c>
      <c r="E568" s="28">
        <v>273.97501299999999</v>
      </c>
      <c r="F568" s="28">
        <v>56929.1</v>
      </c>
      <c r="G568" s="28">
        <v>136.86048700000001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4">
        <v>48</v>
      </c>
      <c r="B569" s="15">
        <v>44898</v>
      </c>
      <c r="C569" s="15">
        <v>44894</v>
      </c>
      <c r="D569" s="28">
        <v>1254075.55</v>
      </c>
      <c r="E569" s="28">
        <v>262.21176300000002</v>
      </c>
      <c r="F569" s="28">
        <v>65310.3</v>
      </c>
      <c r="G569" s="28">
        <v>132.97330700000001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4">
        <v>49</v>
      </c>
      <c r="B570" s="15">
        <v>44905</v>
      </c>
      <c r="C570" s="15">
        <v>44902</v>
      </c>
      <c r="D570" s="28">
        <v>1229399.28</v>
      </c>
      <c r="E570" s="28">
        <v>247.16028499999999</v>
      </c>
      <c r="F570" s="28">
        <v>52920.1</v>
      </c>
      <c r="G570" s="28">
        <v>127.99724399999999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4">
        <v>50</v>
      </c>
      <c r="B571" s="15">
        <v>44912</v>
      </c>
      <c r="C571" s="15">
        <v>44908</v>
      </c>
      <c r="D571" s="28">
        <v>1173024.6000000001</v>
      </c>
      <c r="E571" s="28">
        <v>233.85070300000001</v>
      </c>
      <c r="F571" s="28">
        <v>72568.2</v>
      </c>
      <c r="G571" s="28">
        <v>120.800331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4">
        <v>51</v>
      </c>
      <c r="B572" s="15">
        <v>44919</v>
      </c>
      <c r="C572" s="15">
        <v>44915</v>
      </c>
      <c r="D572" s="28">
        <v>1072358.2</v>
      </c>
      <c r="E572" s="28">
        <v>215.77596500000001</v>
      </c>
      <c r="F572" s="28">
        <v>71072.800000000003</v>
      </c>
      <c r="G572" s="28">
        <v>117.773792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4">
        <v>52</v>
      </c>
      <c r="B573" s="15">
        <v>44926</v>
      </c>
      <c r="C573" s="15">
        <v>44922</v>
      </c>
      <c r="D573" s="28">
        <v>1180827.98</v>
      </c>
      <c r="E573" s="28">
        <v>203.402759</v>
      </c>
      <c r="F573" s="28">
        <v>89888.2</v>
      </c>
      <c r="G573" s="28">
        <v>120.63464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4">
        <v>1</v>
      </c>
      <c r="B574" s="15">
        <v>44933</v>
      </c>
      <c r="C574" s="15">
        <v>44929</v>
      </c>
      <c r="D574" s="28">
        <v>1031548.5</v>
      </c>
      <c r="E574" s="28">
        <v>188.253232</v>
      </c>
      <c r="F574" s="28">
        <v>74803.8</v>
      </c>
      <c r="G574" s="28">
        <v>109.211556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4">
        <v>2</v>
      </c>
      <c r="B575" s="15">
        <v>44940</v>
      </c>
      <c r="C575" s="15">
        <v>44936</v>
      </c>
      <c r="D575" s="28">
        <v>1128108.8</v>
      </c>
      <c r="E575" s="28">
        <v>188.51496599999999</v>
      </c>
      <c r="F575" s="28">
        <v>77941.8</v>
      </c>
      <c r="G575" s="28">
        <v>111.470574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4">
        <v>3</v>
      </c>
      <c r="B576" s="15">
        <v>44947</v>
      </c>
      <c r="C576" s="15">
        <v>44943</v>
      </c>
      <c r="D576" s="28">
        <v>1021786.68</v>
      </c>
      <c r="E576" s="28">
        <v>183.22357500000001</v>
      </c>
      <c r="F576" s="28">
        <v>66612.800000000003</v>
      </c>
      <c r="G576" s="28">
        <v>118.513949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4">
        <v>4</v>
      </c>
      <c r="B577" s="15">
        <v>44954</v>
      </c>
      <c r="C577" s="15">
        <v>44951</v>
      </c>
      <c r="D577" s="28">
        <v>952555.1</v>
      </c>
      <c r="E577" s="28">
        <v>179.14460700000001</v>
      </c>
      <c r="F577" s="28">
        <v>85750.2</v>
      </c>
      <c r="G577" s="28">
        <v>113.746872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4">
        <v>5</v>
      </c>
      <c r="B578" s="15">
        <v>44961</v>
      </c>
      <c r="C578" s="15">
        <v>44958</v>
      </c>
      <c r="D578" s="28">
        <v>690490.05</v>
      </c>
      <c r="E578" s="28">
        <v>167.05808400000001</v>
      </c>
      <c r="F578" s="28">
        <v>68495.199999999997</v>
      </c>
      <c r="G578" s="28">
        <v>104.626254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4">
        <v>6</v>
      </c>
      <c r="B579" s="15">
        <v>44968</v>
      </c>
      <c r="C579" s="15">
        <v>44964</v>
      </c>
      <c r="D579" s="28">
        <v>434358.2</v>
      </c>
      <c r="E579" s="28">
        <v>153.50394800000001</v>
      </c>
      <c r="F579" s="28">
        <v>61606</v>
      </c>
      <c r="G579" s="28">
        <v>95.011346000000003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4">
        <v>7</v>
      </c>
      <c r="B580" s="15">
        <v>44975</v>
      </c>
      <c r="C580" s="15">
        <v>44971</v>
      </c>
      <c r="D580" s="28">
        <v>325367.43</v>
      </c>
      <c r="E580" s="28">
        <v>167.19270299999999</v>
      </c>
      <c r="F580" s="28">
        <v>38302.699999999997</v>
      </c>
      <c r="G580" s="28">
        <v>100.615517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4">
        <v>8</v>
      </c>
      <c r="B581" s="15">
        <v>44617</v>
      </c>
      <c r="C581" s="15"/>
      <c r="D581" s="28">
        <v>0</v>
      </c>
      <c r="E581" s="28">
        <v>0</v>
      </c>
      <c r="F581" s="28">
        <v>0</v>
      </c>
      <c r="G581" s="28">
        <v>0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4">
        <v>9</v>
      </c>
      <c r="B582" s="15">
        <v>44989</v>
      </c>
      <c r="C582" s="17">
        <v>44986</v>
      </c>
      <c r="D582" s="28">
        <v>4772.2</v>
      </c>
      <c r="E582" s="28">
        <v>212.60789500000001</v>
      </c>
      <c r="F582" s="28">
        <v>3356.6</v>
      </c>
      <c r="G582" s="28">
        <v>172.66448099999999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4">
        <v>10</v>
      </c>
      <c r="B583" s="15">
        <v>44996</v>
      </c>
      <c r="C583" s="15">
        <v>44994</v>
      </c>
      <c r="D583" s="28">
        <v>279816.90000000002</v>
      </c>
      <c r="E583" s="28">
        <v>164.608011</v>
      </c>
      <c r="F583" s="28">
        <v>31694.6</v>
      </c>
      <c r="G583" s="28">
        <v>103.279044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4">
        <v>11</v>
      </c>
      <c r="B584" s="15">
        <v>45003</v>
      </c>
      <c r="C584" s="12"/>
      <c r="D584" s="28">
        <v>0</v>
      </c>
      <c r="E584" s="28">
        <v>0</v>
      </c>
      <c r="F584" s="28">
        <v>0</v>
      </c>
      <c r="G584" s="28">
        <v>0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4">
        <v>12</v>
      </c>
      <c r="B585" s="15">
        <v>45010</v>
      </c>
      <c r="C585" s="15">
        <v>45007</v>
      </c>
      <c r="D585" s="28">
        <v>34756.199999999997</v>
      </c>
      <c r="E585" s="28">
        <v>211.390186</v>
      </c>
      <c r="F585" s="28">
        <v>0</v>
      </c>
      <c r="G585" s="28">
        <v>0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4">
        <v>13</v>
      </c>
      <c r="B586" s="15">
        <v>45017</v>
      </c>
      <c r="C586" s="12"/>
      <c r="D586" s="28">
        <v>0</v>
      </c>
      <c r="E586" s="28">
        <v>0</v>
      </c>
      <c r="F586" s="28">
        <v>0</v>
      </c>
      <c r="G586" s="28">
        <v>0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4">
        <v>14</v>
      </c>
      <c r="B587" s="15">
        <v>45024</v>
      </c>
      <c r="C587" s="15">
        <v>45021</v>
      </c>
      <c r="D587" s="28">
        <v>83399.899999999994</v>
      </c>
      <c r="E587" s="28">
        <v>245.65303599999999</v>
      </c>
      <c r="F587" s="28">
        <v>2790.2</v>
      </c>
      <c r="G587" s="28">
        <v>134.99935400000001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4">
        <v>15</v>
      </c>
      <c r="B588" s="15">
        <v>45031</v>
      </c>
      <c r="C588" s="15">
        <v>45027</v>
      </c>
      <c r="D588" s="28">
        <v>244981.9</v>
      </c>
      <c r="E588" s="28">
        <v>256.52738699999998</v>
      </c>
      <c r="F588" s="28">
        <v>16069.4</v>
      </c>
      <c r="G588" s="28">
        <v>144.85967099999999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4">
        <v>16</v>
      </c>
      <c r="B589" s="15">
        <v>45038</v>
      </c>
      <c r="C589" s="15">
        <v>45034</v>
      </c>
      <c r="D589" s="28">
        <v>742486.4</v>
      </c>
      <c r="E589" s="28">
        <v>245.28300899999999</v>
      </c>
      <c r="F589" s="28">
        <v>27721.8</v>
      </c>
      <c r="G589" s="28">
        <v>138.72169099999999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4">
        <v>17</v>
      </c>
      <c r="B590" s="15">
        <v>45045</v>
      </c>
      <c r="C590" s="15" t="s">
        <v>7</v>
      </c>
      <c r="D590" s="28">
        <v>975944.8</v>
      </c>
      <c r="E590" s="28">
        <v>234.460252</v>
      </c>
      <c r="F590" s="28">
        <v>45275.7</v>
      </c>
      <c r="G590" s="28">
        <v>129.55327399999999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4">
        <v>18</v>
      </c>
      <c r="B591" s="15">
        <v>45052</v>
      </c>
      <c r="C591" s="15">
        <v>45049</v>
      </c>
      <c r="D591" s="28">
        <v>848220.75</v>
      </c>
      <c r="E591" s="28">
        <v>223.91684000000001</v>
      </c>
      <c r="F591" s="28">
        <v>44645</v>
      </c>
      <c r="G591" s="28">
        <v>129.077381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4">
        <v>19</v>
      </c>
      <c r="B592" s="15">
        <v>45059</v>
      </c>
      <c r="C592" s="15">
        <v>45056</v>
      </c>
      <c r="D592" s="28">
        <v>816940.63</v>
      </c>
      <c r="E592" s="28">
        <v>210.07770500000001</v>
      </c>
      <c r="F592" s="28">
        <v>59423.8</v>
      </c>
      <c r="G592" s="28">
        <v>122.342478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4">
        <v>20</v>
      </c>
      <c r="B593" s="15">
        <v>45066</v>
      </c>
      <c r="C593" s="15">
        <v>45062</v>
      </c>
      <c r="D593" s="28">
        <v>911362.2</v>
      </c>
      <c r="E593" s="28">
        <v>197.26582200000001</v>
      </c>
      <c r="F593" s="28">
        <v>43398.3</v>
      </c>
      <c r="G593" s="28">
        <v>118.82091200000001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4">
        <v>21</v>
      </c>
      <c r="B594" s="15">
        <v>45073</v>
      </c>
      <c r="C594" s="15">
        <v>45069</v>
      </c>
      <c r="D594" s="28">
        <v>960739.05</v>
      </c>
      <c r="E594" s="28">
        <v>206.427953</v>
      </c>
      <c r="F594" s="28">
        <v>45566.8</v>
      </c>
      <c r="G594" s="28">
        <v>117.912519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4">
        <v>22</v>
      </c>
      <c r="B595" s="15">
        <v>45080</v>
      </c>
      <c r="C595" s="15">
        <v>45076</v>
      </c>
      <c r="D595" s="28">
        <v>905462.4</v>
      </c>
      <c r="E595" s="28">
        <v>214.23418799999999</v>
      </c>
      <c r="F595" s="28">
        <v>32600.7</v>
      </c>
      <c r="G595" s="28">
        <v>117.04860600000001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4">
        <v>23</v>
      </c>
      <c r="B596" s="15">
        <v>45087</v>
      </c>
      <c r="C596" s="15">
        <v>45083</v>
      </c>
      <c r="D596" s="28">
        <v>1172903.1000000001</v>
      </c>
      <c r="E596" s="28">
        <v>223.66830300000001</v>
      </c>
      <c r="F596" s="28">
        <v>40422.699999999997</v>
      </c>
      <c r="G596" s="28">
        <v>125.09036999999999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4">
        <v>24</v>
      </c>
      <c r="B597" s="15">
        <v>45094</v>
      </c>
      <c r="C597" s="15">
        <v>45090</v>
      </c>
      <c r="D597" s="28">
        <v>1281399.1000000001</v>
      </c>
      <c r="E597" s="28">
        <v>233.38918000000001</v>
      </c>
      <c r="F597" s="28">
        <v>46015</v>
      </c>
      <c r="G597" s="28">
        <v>123.945948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4">
        <v>25</v>
      </c>
      <c r="B598" s="15">
        <v>45101</v>
      </c>
      <c r="C598" s="15">
        <v>45096</v>
      </c>
      <c r="D598" s="28">
        <v>1179498.55</v>
      </c>
      <c r="E598" s="28">
        <v>231.242963</v>
      </c>
      <c r="F598" s="28">
        <v>62353.599999999999</v>
      </c>
      <c r="G598" s="28">
        <v>121.908717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4">
        <v>26</v>
      </c>
      <c r="B599" s="15">
        <v>45108</v>
      </c>
      <c r="C599" s="15">
        <v>45103</v>
      </c>
      <c r="D599" s="28">
        <v>1051144.8500000001</v>
      </c>
      <c r="E599" s="28">
        <v>227.25017800000001</v>
      </c>
      <c r="F599" s="28">
        <v>53763</v>
      </c>
      <c r="G599" s="28">
        <v>121.408556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4">
        <v>27</v>
      </c>
      <c r="B600" s="15">
        <v>45115</v>
      </c>
      <c r="C600" s="15">
        <v>45110</v>
      </c>
      <c r="D600" s="28">
        <v>988205.59</v>
      </c>
      <c r="E600" s="28">
        <v>223.787657</v>
      </c>
      <c r="F600" s="28">
        <v>79793.5</v>
      </c>
      <c r="G600" s="28">
        <v>117.62927999999999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4">
        <v>28</v>
      </c>
      <c r="B601" s="15">
        <v>45122</v>
      </c>
      <c r="C601" s="15">
        <v>45118</v>
      </c>
      <c r="D601" s="28">
        <v>958307.9</v>
      </c>
      <c r="E601" s="28">
        <v>226.12170699999999</v>
      </c>
      <c r="F601" s="28">
        <v>61911</v>
      </c>
      <c r="G601" s="28">
        <v>116.76266200000001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4">
        <v>29</v>
      </c>
      <c r="B602" s="15">
        <v>45129</v>
      </c>
      <c r="C602" s="15">
        <v>45125</v>
      </c>
      <c r="D602" s="28">
        <v>903342.35</v>
      </c>
      <c r="E602" s="28">
        <v>225.77189100000001</v>
      </c>
      <c r="F602" s="28">
        <v>51885.9</v>
      </c>
      <c r="G602" s="28">
        <v>113.618189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4">
        <v>30</v>
      </c>
      <c r="B603" s="15">
        <v>45136</v>
      </c>
      <c r="C603" s="15">
        <v>45132</v>
      </c>
      <c r="D603" s="28">
        <v>853071.69</v>
      </c>
      <c r="E603" s="28">
        <v>227.315395</v>
      </c>
      <c r="F603" s="28">
        <v>44385.5</v>
      </c>
      <c r="G603" s="28">
        <v>103.22425699999999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4">
        <v>31</v>
      </c>
      <c r="B604" s="15">
        <v>45143</v>
      </c>
      <c r="C604" s="15">
        <v>45139</v>
      </c>
      <c r="D604" s="28">
        <v>904807.1</v>
      </c>
      <c r="E604" s="28">
        <v>223.517966</v>
      </c>
      <c r="F604" s="28">
        <v>67324.5</v>
      </c>
      <c r="G604" s="28">
        <v>111.26214899999999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4">
        <v>32</v>
      </c>
      <c r="B605" s="15">
        <v>45150</v>
      </c>
      <c r="C605" s="15">
        <v>45146</v>
      </c>
      <c r="D605" s="28">
        <v>1004824.25</v>
      </c>
      <c r="E605" s="28">
        <v>226.95765599999999</v>
      </c>
      <c r="F605" s="28">
        <v>82806.8</v>
      </c>
      <c r="G605" s="28">
        <v>115.534255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4">
        <v>33</v>
      </c>
      <c r="B606" s="15">
        <v>45157</v>
      </c>
      <c r="C606" s="15">
        <v>45154</v>
      </c>
      <c r="D606" s="28">
        <v>1047807.77</v>
      </c>
      <c r="E606" s="28">
        <v>224.05257900000001</v>
      </c>
      <c r="F606" s="28">
        <v>71710.100000000006</v>
      </c>
      <c r="G606" s="28">
        <v>113.715441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4">
        <v>34</v>
      </c>
      <c r="B607" s="15">
        <v>45164</v>
      </c>
      <c r="C607" s="15">
        <v>45160</v>
      </c>
      <c r="D607" s="28">
        <v>1003688.88</v>
      </c>
      <c r="E607" s="28">
        <v>220.23344499999999</v>
      </c>
      <c r="F607" s="28">
        <v>59528.6</v>
      </c>
      <c r="G607" s="28">
        <v>111.036419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4">
        <v>35</v>
      </c>
      <c r="B608" s="15">
        <v>45171</v>
      </c>
      <c r="C608" s="15">
        <v>45167</v>
      </c>
      <c r="D608" s="28">
        <v>1106515.95</v>
      </c>
      <c r="E608" s="28">
        <v>228.38476199999999</v>
      </c>
      <c r="F608" s="28">
        <v>52842</v>
      </c>
      <c r="G608" s="28">
        <v>105.607917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4">
        <v>36</v>
      </c>
      <c r="B609" s="15">
        <v>45178</v>
      </c>
      <c r="C609" s="15">
        <v>45174</v>
      </c>
      <c r="D609" s="28">
        <v>1147340.3</v>
      </c>
      <c r="E609" s="28">
        <v>232.15179900000001</v>
      </c>
      <c r="F609" s="28">
        <v>55709</v>
      </c>
      <c r="G609" s="28">
        <v>104.076863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4">
        <v>37</v>
      </c>
      <c r="B610" s="15">
        <v>45185</v>
      </c>
      <c r="C610" s="15">
        <v>45181</v>
      </c>
      <c r="D610" s="28">
        <v>1045864.9</v>
      </c>
      <c r="E610" s="28">
        <v>234.02352999999999</v>
      </c>
      <c r="F610" s="28">
        <v>50703.6</v>
      </c>
      <c r="G610" s="28">
        <v>104.885625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4">
        <v>38</v>
      </c>
      <c r="B611" s="15">
        <v>45192</v>
      </c>
      <c r="C611" s="15">
        <v>45189</v>
      </c>
      <c r="D611" s="28">
        <v>1181306.31</v>
      </c>
      <c r="E611" s="28">
        <v>236.34689399999999</v>
      </c>
      <c r="F611" s="28">
        <v>50806.7</v>
      </c>
      <c r="G611" s="28">
        <v>100.03464700000001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4">
        <v>39</v>
      </c>
      <c r="B612" s="15" t="s">
        <v>8</v>
      </c>
      <c r="C612" s="15">
        <v>45195</v>
      </c>
      <c r="D612" s="28">
        <v>1328445.3</v>
      </c>
      <c r="E612" s="28">
        <v>231.996903</v>
      </c>
      <c r="F612" s="28">
        <v>59505.2</v>
      </c>
      <c r="G612" s="28">
        <v>103.168469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4">
        <v>40</v>
      </c>
      <c r="B613" s="15">
        <v>45206</v>
      </c>
      <c r="C613" s="15">
        <v>45203</v>
      </c>
      <c r="D613" s="28">
        <v>1028459.4</v>
      </c>
      <c r="E613" s="28">
        <v>224.214325</v>
      </c>
      <c r="F613" s="28">
        <v>68008.2</v>
      </c>
      <c r="G613" s="28">
        <v>98.158910000000006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4">
        <v>41</v>
      </c>
      <c r="B614" s="15">
        <v>45213</v>
      </c>
      <c r="C614" s="15">
        <v>45209</v>
      </c>
      <c r="D614" s="28">
        <v>1070115.3500000001</v>
      </c>
      <c r="E614" s="28">
        <v>221.46603899999999</v>
      </c>
      <c r="F614" s="28">
        <v>70858.7</v>
      </c>
      <c r="G614" s="28">
        <v>101.149936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4">
        <v>42</v>
      </c>
      <c r="B615" s="15">
        <v>45220</v>
      </c>
      <c r="C615" s="15" t="s">
        <v>9</v>
      </c>
      <c r="D615" s="28">
        <v>1138488.53</v>
      </c>
      <c r="E615" s="28">
        <v>221.53909899999999</v>
      </c>
      <c r="F615" s="28">
        <v>41257.199999999997</v>
      </c>
      <c r="G615" s="28">
        <v>102.04261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4">
        <v>43</v>
      </c>
      <c r="B616" s="15">
        <v>45227</v>
      </c>
      <c r="C616" s="15"/>
      <c r="D616" s="28">
        <v>0</v>
      </c>
      <c r="E616" s="28">
        <v>0</v>
      </c>
      <c r="F616" s="28">
        <v>0</v>
      </c>
      <c r="G616" s="28">
        <v>0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4">
        <v>44</v>
      </c>
      <c r="B617" s="15">
        <v>45234</v>
      </c>
      <c r="C617" s="15">
        <v>45230</v>
      </c>
      <c r="D617" s="28">
        <v>1301946.1599999999</v>
      </c>
      <c r="E617" s="28">
        <v>224.090878</v>
      </c>
      <c r="F617" s="28">
        <v>0</v>
      </c>
      <c r="G617" s="28">
        <v>0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4">
        <v>45</v>
      </c>
      <c r="B618" s="15">
        <v>45241</v>
      </c>
      <c r="C618" s="15">
        <v>45237</v>
      </c>
      <c r="D618" s="28">
        <v>1313023.6000000001</v>
      </c>
      <c r="E618" s="28">
        <v>225.15868800000001</v>
      </c>
      <c r="F618" s="28">
        <v>54199.8</v>
      </c>
      <c r="G618" s="28">
        <v>95.800297999999998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4">
        <v>46</v>
      </c>
      <c r="B619" s="15">
        <v>45248</v>
      </c>
      <c r="C619" s="15">
        <v>45246</v>
      </c>
      <c r="D619" s="28">
        <v>1415194.45</v>
      </c>
      <c r="E619" s="28">
        <v>226.83801</v>
      </c>
      <c r="F619" s="28">
        <v>46014.400000000001</v>
      </c>
      <c r="G619" s="28">
        <v>99.457060999999996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4">
        <v>47</v>
      </c>
      <c r="B620" s="15">
        <v>45255</v>
      </c>
      <c r="C620" s="15">
        <v>45252</v>
      </c>
      <c r="D620" s="28">
        <v>1315055.42</v>
      </c>
      <c r="E620" s="28">
        <v>226.56926899999999</v>
      </c>
      <c r="F620" s="28">
        <v>64060</v>
      </c>
      <c r="G620" s="28">
        <v>111.17788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4">
        <v>48</v>
      </c>
      <c r="B621" s="15">
        <v>45262</v>
      </c>
      <c r="C621" s="15">
        <v>45289</v>
      </c>
      <c r="D621" s="28">
        <v>1183673.7</v>
      </c>
      <c r="E621" s="28">
        <v>232.105616</v>
      </c>
      <c r="F621" s="28">
        <v>65986.5</v>
      </c>
      <c r="G621" s="28">
        <v>101.157871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4">
        <v>49</v>
      </c>
      <c r="B622" s="15">
        <v>45269</v>
      </c>
      <c r="C622" s="15">
        <v>45265</v>
      </c>
      <c r="D622" s="28">
        <v>1178470.25</v>
      </c>
      <c r="E622" s="28">
        <v>221.90808000000001</v>
      </c>
      <c r="F622" s="28">
        <v>40697.800000000003</v>
      </c>
      <c r="G622" s="28">
        <v>99.501525000000001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4">
        <v>50</v>
      </c>
      <c r="B623" s="15">
        <v>45276</v>
      </c>
      <c r="C623" s="15">
        <v>45272</v>
      </c>
      <c r="D623" s="28">
        <v>1013993.57</v>
      </c>
      <c r="E623" s="28">
        <v>219.949693</v>
      </c>
      <c r="F623" s="28">
        <v>50657</v>
      </c>
      <c r="G623" s="28">
        <v>97.987290000000002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4">
        <v>51</v>
      </c>
      <c r="B624" s="15">
        <v>45283</v>
      </c>
      <c r="C624" s="15">
        <v>45279</v>
      </c>
      <c r="D624" s="28">
        <v>991621.7</v>
      </c>
      <c r="E624" s="28">
        <v>196.67201399999999</v>
      </c>
      <c r="F624" s="28">
        <v>45186</v>
      </c>
      <c r="G624" s="28">
        <v>99.560114999999996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4">
        <v>52</v>
      </c>
      <c r="B625" s="15">
        <v>45290</v>
      </c>
      <c r="C625" s="15">
        <v>45287</v>
      </c>
      <c r="D625" s="28">
        <v>766466.8</v>
      </c>
      <c r="E625" s="28">
        <v>193.75330299999999</v>
      </c>
      <c r="F625" s="28">
        <v>62867.7</v>
      </c>
      <c r="G625" s="28">
        <v>98.286850999999999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4">
        <v>1</v>
      </c>
      <c r="B626" s="15">
        <v>45297</v>
      </c>
      <c r="C626" s="15">
        <v>45294</v>
      </c>
      <c r="D626" s="28">
        <v>751503.9</v>
      </c>
      <c r="E626" s="28">
        <v>179.039267</v>
      </c>
      <c r="F626" s="28">
        <v>45303.9</v>
      </c>
      <c r="G626" s="28">
        <v>100.022285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4">
        <v>2</v>
      </c>
      <c r="B627" s="15">
        <v>45304</v>
      </c>
      <c r="C627" s="15">
        <v>45300</v>
      </c>
      <c r="D627" s="28">
        <v>699852.2</v>
      </c>
      <c r="E627" s="28">
        <v>172.69147000000001</v>
      </c>
      <c r="F627" s="28">
        <v>57949.5</v>
      </c>
      <c r="G627" s="28">
        <v>96.743497000000005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4">
        <v>3</v>
      </c>
      <c r="B628" s="15">
        <v>45311</v>
      </c>
      <c r="C628" s="15">
        <v>45307</v>
      </c>
      <c r="D628" s="28">
        <v>654178.5</v>
      </c>
      <c r="E628" s="28">
        <v>181.29056800000001</v>
      </c>
      <c r="F628" s="28">
        <v>85790.9</v>
      </c>
      <c r="G628" s="28">
        <v>94.374943999999999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4">
        <v>4</v>
      </c>
      <c r="B629" s="15">
        <v>45318</v>
      </c>
      <c r="C629" s="15">
        <v>45315</v>
      </c>
      <c r="D629" s="28">
        <v>529707.6</v>
      </c>
      <c r="E629" s="28">
        <v>181.16197700000001</v>
      </c>
      <c r="F629" s="28">
        <v>100968.9</v>
      </c>
      <c r="G629" s="28">
        <v>87.401746000000003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4">
        <v>5</v>
      </c>
      <c r="B630" s="15">
        <v>45325</v>
      </c>
      <c r="C630" s="15">
        <v>45322</v>
      </c>
      <c r="D630" s="28">
        <v>336493.3</v>
      </c>
      <c r="E630" s="28">
        <v>173.55958100000001</v>
      </c>
      <c r="F630" s="28">
        <v>42275.1</v>
      </c>
      <c r="G630" s="28">
        <v>89.267008000000004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4">
        <v>6</v>
      </c>
      <c r="B631" s="15">
        <v>45332</v>
      </c>
      <c r="C631" s="15">
        <v>45328</v>
      </c>
      <c r="D631" s="28">
        <v>303687.90000000002</v>
      </c>
      <c r="E631" s="28">
        <v>154.07978499999999</v>
      </c>
      <c r="F631" s="28">
        <v>38555.800000000003</v>
      </c>
      <c r="G631" s="28">
        <v>83.839567000000002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4">
        <v>7</v>
      </c>
      <c r="B632" s="15">
        <v>45339</v>
      </c>
      <c r="C632" s="15">
        <v>45335</v>
      </c>
      <c r="D632" s="28">
        <v>98437.8</v>
      </c>
      <c r="E632" s="28">
        <v>159.069547</v>
      </c>
      <c r="F632" s="28">
        <v>51848.1</v>
      </c>
      <c r="G632" s="28">
        <v>76.632486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4">
        <v>8</v>
      </c>
      <c r="B633" s="15">
        <v>45346</v>
      </c>
      <c r="C633" s="15">
        <v>45342</v>
      </c>
      <c r="D633" s="28">
        <v>65432.6</v>
      </c>
      <c r="E633" s="28">
        <v>178.82607400000001</v>
      </c>
      <c r="F633" s="28">
        <v>28109.599999999999</v>
      </c>
      <c r="G633" s="28">
        <v>71.442919000000003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4">
        <v>9</v>
      </c>
      <c r="B634" s="15">
        <v>45353</v>
      </c>
      <c r="C634" s="17"/>
      <c r="D634" s="28">
        <v>0</v>
      </c>
      <c r="E634" s="28">
        <v>0</v>
      </c>
      <c r="F634" s="28">
        <v>0</v>
      </c>
      <c r="G634" s="28">
        <v>0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4">
        <v>10</v>
      </c>
      <c r="B635" s="15">
        <v>45360</v>
      </c>
      <c r="C635" s="15">
        <v>45356</v>
      </c>
      <c r="D635" s="28">
        <v>5607.1</v>
      </c>
      <c r="E635" s="28">
        <v>69.490182000000004</v>
      </c>
      <c r="F635" s="28">
        <v>0</v>
      </c>
      <c r="G635" s="28">
        <v>0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4">
        <v>11</v>
      </c>
      <c r="B636" s="15">
        <v>45367</v>
      </c>
      <c r="C636" s="12"/>
      <c r="D636" s="28">
        <v>0</v>
      </c>
      <c r="E636" s="28">
        <v>0</v>
      </c>
      <c r="F636" s="28">
        <v>0</v>
      </c>
      <c r="G636" s="28">
        <v>0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4">
        <v>12</v>
      </c>
      <c r="B637" s="15">
        <v>45374</v>
      </c>
      <c r="C637" s="15">
        <v>45370</v>
      </c>
      <c r="D637" s="28">
        <v>55900.6</v>
      </c>
      <c r="E637" s="28">
        <v>190.16211200000001</v>
      </c>
      <c r="F637" s="28">
        <v>11119.3</v>
      </c>
      <c r="G637" s="28">
        <v>70.117857999999998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4">
        <v>13</v>
      </c>
      <c r="B638" s="15">
        <v>45381</v>
      </c>
      <c r="C638" s="12"/>
      <c r="D638" s="28">
        <v>0</v>
      </c>
      <c r="E638" s="28">
        <v>0</v>
      </c>
      <c r="F638" s="28">
        <v>0</v>
      </c>
      <c r="G638" s="28">
        <v>0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4">
        <v>14</v>
      </c>
      <c r="B639" s="15">
        <v>45388</v>
      </c>
      <c r="C639" s="15">
        <v>45385</v>
      </c>
      <c r="D639" s="28">
        <v>54385</v>
      </c>
      <c r="E639" s="28">
        <v>251.11861300000001</v>
      </c>
      <c r="F639" s="28">
        <v>2989.6</v>
      </c>
      <c r="G639" s="28">
        <v>63.179420999999998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4">
        <v>15</v>
      </c>
      <c r="B640" s="15">
        <v>45395</v>
      </c>
      <c r="C640" s="15">
        <v>45392</v>
      </c>
      <c r="D640" s="28">
        <v>89386.1</v>
      </c>
      <c r="E640" s="28">
        <v>291.88320099999999</v>
      </c>
      <c r="F640" s="28">
        <v>3026.8</v>
      </c>
      <c r="G640" s="28">
        <v>123.859587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4">
        <v>16</v>
      </c>
      <c r="B641" s="15">
        <v>45402</v>
      </c>
      <c r="C641" s="15">
        <v>45398</v>
      </c>
      <c r="D641" s="28">
        <v>228438.7</v>
      </c>
      <c r="E641" s="28">
        <v>318.62143099999997</v>
      </c>
      <c r="F641" s="28">
        <v>6155.4</v>
      </c>
      <c r="G641" s="28">
        <v>141.986515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4">
        <v>17</v>
      </c>
      <c r="B642" s="15">
        <v>45409</v>
      </c>
      <c r="C642" s="15">
        <v>45405</v>
      </c>
      <c r="D642" s="28">
        <v>431098.3</v>
      </c>
      <c r="E642" s="28">
        <v>308.28090600000002</v>
      </c>
      <c r="F642" s="28">
        <v>14994.8</v>
      </c>
      <c r="G642" s="28">
        <v>136.58617599999999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4">
        <v>18</v>
      </c>
      <c r="B643" s="15">
        <v>45416</v>
      </c>
      <c r="C643" s="15">
        <v>45412</v>
      </c>
      <c r="D643" s="28">
        <v>676853.3</v>
      </c>
      <c r="E643" s="28">
        <v>299.863496</v>
      </c>
      <c r="F643" s="28">
        <v>36585.9</v>
      </c>
      <c r="G643" s="28">
        <v>129.36493200000001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4">
        <v>19</v>
      </c>
      <c r="B644" s="15">
        <v>45423</v>
      </c>
      <c r="C644" s="15">
        <v>45419</v>
      </c>
      <c r="D644" s="28">
        <v>685802</v>
      </c>
      <c r="E644" s="28">
        <v>292.148507</v>
      </c>
      <c r="F644" s="28">
        <v>31172.3</v>
      </c>
      <c r="G644" s="28">
        <v>131.32018400000001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4">
        <v>20</v>
      </c>
      <c r="B645" s="15">
        <v>45430</v>
      </c>
      <c r="C645" s="15">
        <v>45426</v>
      </c>
      <c r="D645" s="28">
        <v>744235.85</v>
      </c>
      <c r="E645" s="28">
        <v>287.61361099999999</v>
      </c>
      <c r="F645" s="28">
        <v>48217.3</v>
      </c>
      <c r="G645" s="28">
        <v>126.457549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4">
        <v>21</v>
      </c>
      <c r="B646" s="15">
        <v>45437</v>
      </c>
      <c r="C646" s="15">
        <v>45433</v>
      </c>
      <c r="D646" s="28">
        <v>797065.19</v>
      </c>
      <c r="E646" s="28">
        <v>280.49546800000002</v>
      </c>
      <c r="F646" s="28">
        <v>37986.300000000003</v>
      </c>
      <c r="G646" s="28">
        <v>126.461645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4">
        <v>22</v>
      </c>
      <c r="B647" s="15">
        <v>45444</v>
      </c>
      <c r="C647" s="15">
        <v>45440</v>
      </c>
      <c r="D647" s="28">
        <v>623786.19999999995</v>
      </c>
      <c r="E647" s="28">
        <v>280.08171399999998</v>
      </c>
      <c r="F647" s="28">
        <v>41354.400000000001</v>
      </c>
      <c r="G647" s="28">
        <v>129.69758400000001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4">
        <v>23</v>
      </c>
      <c r="B648" s="15">
        <v>45451</v>
      </c>
      <c r="C648" s="15">
        <v>45447</v>
      </c>
      <c r="D648" s="28">
        <v>592227.6</v>
      </c>
      <c r="E648" s="28">
        <v>297.55992700000002</v>
      </c>
      <c r="F648" s="28">
        <v>42593.8</v>
      </c>
      <c r="G648" s="28">
        <v>130.08095499999999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4">
        <v>24</v>
      </c>
      <c r="B649" s="15">
        <v>45458</v>
      </c>
      <c r="C649" s="15">
        <v>45454</v>
      </c>
      <c r="D649" s="28">
        <v>567236.4</v>
      </c>
      <c r="E649" s="28">
        <v>314.52805899999998</v>
      </c>
      <c r="F649" s="28">
        <v>41517.599999999999</v>
      </c>
      <c r="G649" s="28">
        <v>121.623215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4">
        <v>25</v>
      </c>
      <c r="B650" s="15">
        <v>45465</v>
      </c>
      <c r="C650" s="15">
        <v>45462</v>
      </c>
      <c r="D650" s="28">
        <v>776169</v>
      </c>
      <c r="E650" s="28">
        <v>312.15081300000003</v>
      </c>
      <c r="F650" s="28">
        <v>33834</v>
      </c>
      <c r="G650" s="28">
        <v>128.66848100000001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4">
        <v>26</v>
      </c>
      <c r="B651" s="15">
        <v>45472</v>
      </c>
      <c r="C651" s="15">
        <v>45469</v>
      </c>
      <c r="D651" s="28">
        <v>731211.1</v>
      </c>
      <c r="E651" s="28">
        <v>313.182571</v>
      </c>
      <c r="F651" s="28">
        <v>50293</v>
      </c>
      <c r="G651" s="28">
        <v>128.03832700000001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4">
        <v>27</v>
      </c>
      <c r="B652" s="15">
        <v>45479</v>
      </c>
      <c r="C652" s="15">
        <v>45476</v>
      </c>
      <c r="D652" s="28">
        <v>714219.1</v>
      </c>
      <c r="E652" s="28">
        <v>308.36762499999998</v>
      </c>
      <c r="F652" s="28">
        <v>40610.400000000001</v>
      </c>
      <c r="G652" s="28">
        <v>133.032297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4">
        <v>28</v>
      </c>
      <c r="B653" s="15">
        <v>45486</v>
      </c>
      <c r="C653" s="15">
        <v>45482</v>
      </c>
      <c r="D653" s="28">
        <v>706415.7</v>
      </c>
      <c r="E653" s="28">
        <v>306.87346600000001</v>
      </c>
      <c r="F653" s="28">
        <v>34897.1</v>
      </c>
      <c r="G653" s="28">
        <v>137.99527699999999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4">
        <v>29</v>
      </c>
      <c r="B654" s="15">
        <v>45493</v>
      </c>
      <c r="C654" s="15">
        <v>45489</v>
      </c>
      <c r="D654" s="28">
        <v>706601.8</v>
      </c>
      <c r="E654" s="28">
        <v>313.80116600000002</v>
      </c>
      <c r="F654" s="28">
        <v>45740.6</v>
      </c>
      <c r="G654" s="28">
        <v>143.90966399999999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4">
        <v>30</v>
      </c>
      <c r="B655" s="15">
        <v>45500</v>
      </c>
      <c r="C655" s="15">
        <v>45496</v>
      </c>
      <c r="D655" s="28">
        <v>722991.7</v>
      </c>
      <c r="E655" s="28">
        <v>317.12214899999998</v>
      </c>
      <c r="F655" s="28">
        <v>50757.1</v>
      </c>
      <c r="G655" s="28">
        <v>141.51762400000001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4">
        <v>31</v>
      </c>
      <c r="B656" s="15">
        <v>45507</v>
      </c>
      <c r="C656" s="15">
        <v>45503</v>
      </c>
      <c r="D656" s="28">
        <v>975172.3</v>
      </c>
      <c r="E656" s="28">
        <v>299.91450800000001</v>
      </c>
      <c r="F656" s="28">
        <v>57434.400000000001</v>
      </c>
      <c r="G656" s="28">
        <v>145.869708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4">
        <v>32</v>
      </c>
      <c r="B657" s="15">
        <v>45514</v>
      </c>
      <c r="C657" s="15">
        <v>45510</v>
      </c>
      <c r="D657" s="28">
        <v>756992.62</v>
      </c>
      <c r="E657" s="28">
        <v>314.21090900000002</v>
      </c>
      <c r="F657" s="28">
        <v>53553.599999999999</v>
      </c>
      <c r="G657" s="28">
        <v>138.89148800000001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4">
        <v>33</v>
      </c>
      <c r="B658" s="15">
        <v>45521</v>
      </c>
      <c r="C658" s="15">
        <v>45517</v>
      </c>
      <c r="D658" s="28">
        <v>797134.5</v>
      </c>
      <c r="E658" s="28">
        <v>322.38243899999998</v>
      </c>
      <c r="F658" s="28">
        <v>36300.800000000003</v>
      </c>
      <c r="G658" s="28">
        <v>147.76651699999999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4">
        <v>34</v>
      </c>
      <c r="B659" s="15">
        <v>45528</v>
      </c>
      <c r="C659" s="15">
        <v>45524</v>
      </c>
      <c r="D659" s="28">
        <v>757123.45</v>
      </c>
      <c r="E659" s="28">
        <v>327.24961500000001</v>
      </c>
      <c r="F659" s="28">
        <v>42914.7</v>
      </c>
      <c r="G659" s="28">
        <v>153.99092300000001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4">
        <v>35</v>
      </c>
      <c r="B660" s="15">
        <v>45535</v>
      </c>
      <c r="C660" s="15">
        <v>45532</v>
      </c>
      <c r="D660" s="28">
        <v>994828.1</v>
      </c>
      <c r="E660" s="28">
        <v>334.41311100000001</v>
      </c>
      <c r="F660" s="28">
        <v>49497.8</v>
      </c>
      <c r="G660" s="28">
        <v>138.482857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4">
        <v>36</v>
      </c>
      <c r="B661" s="15">
        <v>45542</v>
      </c>
      <c r="C661" s="15">
        <v>45538</v>
      </c>
      <c r="D661" s="28">
        <v>904510.3</v>
      </c>
      <c r="E661" s="28">
        <v>331.50396599999999</v>
      </c>
      <c r="F661" s="28">
        <v>56646.7</v>
      </c>
      <c r="G661" s="28">
        <v>143.67727600000001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4">
        <v>37</v>
      </c>
      <c r="B662" s="15">
        <v>45549</v>
      </c>
      <c r="C662" s="15">
        <v>45545</v>
      </c>
      <c r="D662" s="28">
        <v>849056.1</v>
      </c>
      <c r="E662" s="28">
        <v>332.80545499999999</v>
      </c>
      <c r="F662" s="28">
        <v>37958.800000000003</v>
      </c>
      <c r="G662" s="28">
        <v>151.61354600000001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4">
        <v>38</v>
      </c>
      <c r="B663" s="15">
        <v>45556</v>
      </c>
      <c r="C663" s="15">
        <v>45552</v>
      </c>
      <c r="D663" s="28">
        <v>1036479.85</v>
      </c>
      <c r="E663" s="28">
        <v>344.55971799999998</v>
      </c>
      <c r="F663" s="28">
        <v>46858.400000000001</v>
      </c>
      <c r="G663" s="28">
        <v>148.50911600000001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4">
        <v>39</v>
      </c>
      <c r="B664" s="15">
        <v>45563</v>
      </c>
      <c r="C664" s="15">
        <v>45559</v>
      </c>
      <c r="D664" s="28">
        <v>974888.9</v>
      </c>
      <c r="E664" s="28">
        <v>327.80501199999998</v>
      </c>
      <c r="F664" s="28">
        <v>60229.8</v>
      </c>
      <c r="G664" s="28">
        <v>150.51048399999999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4">
        <v>40</v>
      </c>
      <c r="B665" s="15">
        <v>45570</v>
      </c>
      <c r="C665" s="15">
        <v>45566</v>
      </c>
      <c r="D665" s="28">
        <v>787941.29</v>
      </c>
      <c r="E665" s="28">
        <v>313.551131</v>
      </c>
      <c r="F665" s="28">
        <v>44535.1</v>
      </c>
      <c r="G665" s="28">
        <v>148.12485799999999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4">
        <v>41</v>
      </c>
      <c r="B666" s="15">
        <v>45577</v>
      </c>
      <c r="C666" s="15"/>
      <c r="D666" s="28">
        <v>0</v>
      </c>
      <c r="E666" s="28">
        <v>0</v>
      </c>
      <c r="F666" s="28">
        <v>0</v>
      </c>
      <c r="G666" s="28">
        <v>0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4">
        <v>42</v>
      </c>
      <c r="B667" s="15">
        <v>45584</v>
      </c>
      <c r="C667" s="15">
        <v>45580</v>
      </c>
      <c r="D667" s="28">
        <v>854953.3</v>
      </c>
      <c r="E667" s="28">
        <v>299.66757799999999</v>
      </c>
      <c r="F667" s="28">
        <v>75253.100000000006</v>
      </c>
      <c r="G667" s="28">
        <v>144.724164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4">
        <v>43</v>
      </c>
      <c r="B668" s="15">
        <v>45591</v>
      </c>
      <c r="C668" s="15">
        <v>45587</v>
      </c>
      <c r="D668" s="28">
        <v>871516.85</v>
      </c>
      <c r="E668" s="28">
        <v>298.65361100000001</v>
      </c>
      <c r="F668" s="28">
        <v>52282.400000000001</v>
      </c>
      <c r="G668" s="28">
        <v>143.676468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4">
        <v>44</v>
      </c>
      <c r="B669" s="15">
        <v>45598</v>
      </c>
      <c r="C669" s="15">
        <v>45594</v>
      </c>
      <c r="D669" s="28">
        <v>996603.95</v>
      </c>
      <c r="E669" s="28">
        <v>284.08178600000002</v>
      </c>
      <c r="F669" s="28">
        <v>35474.1</v>
      </c>
      <c r="G669" s="28">
        <v>145.72097299999999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4">
        <v>45</v>
      </c>
      <c r="B670" s="15">
        <v>45605</v>
      </c>
      <c r="C670" s="15">
        <v>45601</v>
      </c>
      <c r="D670" s="28">
        <v>924907.3</v>
      </c>
      <c r="E670" s="28">
        <v>286.620588</v>
      </c>
      <c r="F670" s="28">
        <v>30820.799999999999</v>
      </c>
      <c r="G670" s="28">
        <v>125.79273000000001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4">
        <v>46</v>
      </c>
      <c r="B671" s="15">
        <v>45612</v>
      </c>
      <c r="C671" s="15">
        <v>45608</v>
      </c>
      <c r="D671" s="28">
        <v>1075219.8</v>
      </c>
      <c r="E671" s="28">
        <v>283.905171</v>
      </c>
      <c r="F671" s="28">
        <v>45138.1</v>
      </c>
      <c r="G671" s="28">
        <v>133.50627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4">
        <v>47</v>
      </c>
      <c r="B672" s="15">
        <v>45619</v>
      </c>
      <c r="C672" s="15">
        <v>45615</v>
      </c>
      <c r="D672" s="28">
        <v>994417.2</v>
      </c>
      <c r="E672" s="28">
        <v>277.89464800000002</v>
      </c>
      <c r="F672" s="28">
        <v>40702</v>
      </c>
      <c r="G672" s="28">
        <v>142.475033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4">
        <v>48</v>
      </c>
      <c r="B673" s="15">
        <v>45626</v>
      </c>
      <c r="C673" s="15">
        <v>45622</v>
      </c>
      <c r="D673" s="28">
        <v>1035351.8</v>
      </c>
      <c r="E673" s="28">
        <v>270.876868</v>
      </c>
      <c r="F673" s="28">
        <v>37490.800000000003</v>
      </c>
      <c r="G673" s="28">
        <v>144.90393900000001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4">
        <v>49</v>
      </c>
      <c r="B674" s="15">
        <v>45633</v>
      </c>
      <c r="C674" s="15">
        <v>45629</v>
      </c>
      <c r="D674" s="28">
        <v>948360.1</v>
      </c>
      <c r="E674" s="28">
        <v>265.84764200000001</v>
      </c>
      <c r="F674" s="28">
        <v>33511.5</v>
      </c>
      <c r="G674" s="28">
        <v>139.12809300000001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4">
        <v>50</v>
      </c>
      <c r="B675" s="15">
        <v>45640</v>
      </c>
      <c r="C675" s="15">
        <v>45636</v>
      </c>
      <c r="D675" s="28">
        <v>814451.9</v>
      </c>
      <c r="E675" s="28">
        <v>257.02504900000002</v>
      </c>
      <c r="F675" s="28">
        <v>29045.3</v>
      </c>
      <c r="G675" s="28">
        <v>139.479905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4">
        <v>51</v>
      </c>
      <c r="B676" s="15">
        <v>45647</v>
      </c>
      <c r="C676" s="15">
        <v>45643</v>
      </c>
      <c r="D676" s="28">
        <v>1082692.5</v>
      </c>
      <c r="E676" s="28">
        <v>249.17565400000001</v>
      </c>
      <c r="F676" s="28">
        <v>32145.7</v>
      </c>
      <c r="G676" s="28">
        <v>138.00619599999999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4">
        <v>52</v>
      </c>
      <c r="B677" s="15">
        <v>45654</v>
      </c>
      <c r="C677" s="15">
        <v>45650</v>
      </c>
      <c r="D677" s="28">
        <v>1090580.1000000001</v>
      </c>
      <c r="E677" s="28">
        <v>245.14083400000001</v>
      </c>
      <c r="F677" s="28">
        <v>19779.900000000001</v>
      </c>
      <c r="G677" s="28">
        <v>140.360072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4">
        <v>1</v>
      </c>
      <c r="B678" s="15">
        <v>45661</v>
      </c>
      <c r="C678" s="15">
        <v>45659</v>
      </c>
      <c r="D678" s="28">
        <v>899120.8</v>
      </c>
      <c r="E678" s="28">
        <v>232.04612900000001</v>
      </c>
      <c r="F678" s="28">
        <v>35795.4</v>
      </c>
      <c r="G678" s="28">
        <v>134.664085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4">
        <v>2</v>
      </c>
      <c r="B679" s="15">
        <v>45668</v>
      </c>
      <c r="C679" s="15">
        <v>45665</v>
      </c>
      <c r="D679" s="28">
        <v>720390.5</v>
      </c>
      <c r="E679" s="28">
        <v>233.472745</v>
      </c>
      <c r="F679" s="28">
        <v>29964.400000000001</v>
      </c>
      <c r="G679" s="28">
        <v>128.14672400000001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4">
        <v>3</v>
      </c>
      <c r="B680" s="15">
        <v>45675</v>
      </c>
      <c r="C680" s="15">
        <v>45671</v>
      </c>
      <c r="D680" s="28">
        <v>662686.80000000005</v>
      </c>
      <c r="E680" s="28">
        <v>215.28795600000001</v>
      </c>
      <c r="F680" s="28">
        <v>43948.9</v>
      </c>
      <c r="G680" s="28">
        <v>125.402446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4">
        <v>4</v>
      </c>
      <c r="B681" s="15">
        <v>45682</v>
      </c>
      <c r="C681" s="15">
        <v>45678</v>
      </c>
      <c r="D681" s="28">
        <v>597314.88</v>
      </c>
      <c r="E681" s="28">
        <v>205.447956</v>
      </c>
      <c r="F681" s="28">
        <v>44777</v>
      </c>
      <c r="G681" s="28">
        <v>121.150412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4">
        <v>5</v>
      </c>
      <c r="B682" s="15">
        <v>45689</v>
      </c>
      <c r="C682" s="15">
        <v>45685</v>
      </c>
      <c r="D682" s="28">
        <v>347731.65</v>
      </c>
      <c r="E682" s="28">
        <v>199.652727</v>
      </c>
      <c r="F682" s="28">
        <v>50706.9</v>
      </c>
      <c r="G682" s="28">
        <v>115.64211299999999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4">
        <v>6</v>
      </c>
      <c r="B683" s="15">
        <v>45696</v>
      </c>
      <c r="C683" s="15">
        <v>45692</v>
      </c>
      <c r="D683" s="28">
        <v>300682</v>
      </c>
      <c r="E683" s="28">
        <v>199.315439</v>
      </c>
      <c r="F683" s="28">
        <v>218510.1</v>
      </c>
      <c r="G683" s="28">
        <v>111.499388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4">
        <v>7</v>
      </c>
      <c r="B684" s="15">
        <v>45703</v>
      </c>
      <c r="C684" s="15">
        <v>45699</v>
      </c>
      <c r="D684" s="28">
        <v>173346.2</v>
      </c>
      <c r="E684" s="28">
        <v>207.490837</v>
      </c>
      <c r="F684" s="28">
        <v>136497.5</v>
      </c>
      <c r="G684" s="28">
        <v>116.638341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4">
        <v>8</v>
      </c>
      <c r="B685" s="15">
        <v>45710</v>
      </c>
      <c r="C685" s="15">
        <v>45706</v>
      </c>
      <c r="D685" s="28">
        <v>143920.95000000001</v>
      </c>
      <c r="E685" s="28">
        <v>201.86040299999999</v>
      </c>
      <c r="F685" s="28">
        <v>20955</v>
      </c>
      <c r="G685" s="28">
        <v>134.48109700000001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4">
        <v>9</v>
      </c>
      <c r="B686" s="15">
        <v>45717</v>
      </c>
      <c r="C686" s="17"/>
      <c r="D686" s="28">
        <v>0</v>
      </c>
      <c r="E686" s="28">
        <v>0</v>
      </c>
      <c r="F686" s="28">
        <v>0</v>
      </c>
      <c r="G686" s="28">
        <v>0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4">
        <v>10</v>
      </c>
      <c r="B687" s="15">
        <v>45724</v>
      </c>
      <c r="C687" s="15"/>
      <c r="D687" s="28">
        <v>0</v>
      </c>
      <c r="E687" s="28">
        <v>0</v>
      </c>
      <c r="F687" s="28">
        <v>0</v>
      </c>
      <c r="G687" s="28">
        <v>0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4">
        <v>11</v>
      </c>
      <c r="B688" s="15">
        <v>45731</v>
      </c>
      <c r="C688" s="12"/>
      <c r="D688" s="28">
        <v>0</v>
      </c>
      <c r="E688" s="28">
        <v>0</v>
      </c>
      <c r="F688" s="28">
        <v>0</v>
      </c>
      <c r="G688" s="28">
        <v>0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4">
        <v>12</v>
      </c>
      <c r="B689" s="15">
        <v>45738</v>
      </c>
      <c r="C689" s="15">
        <v>45734</v>
      </c>
      <c r="D689" s="28">
        <v>64754.9</v>
      </c>
      <c r="E689" s="28">
        <v>197.353509</v>
      </c>
      <c r="F689" s="28">
        <v>32913.4</v>
      </c>
      <c r="G689" s="28">
        <v>100.942685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4">
        <v>13</v>
      </c>
      <c r="B690" s="15">
        <v>45747</v>
      </c>
      <c r="C690" s="18"/>
      <c r="D690" s="28">
        <v>0</v>
      </c>
      <c r="E690" s="28">
        <v>0</v>
      </c>
      <c r="F690" s="28">
        <v>0</v>
      </c>
      <c r="G690" s="28">
        <v>0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4">
        <v>14</v>
      </c>
      <c r="B691" s="15">
        <v>45752</v>
      </c>
      <c r="C691" s="15">
        <v>45749</v>
      </c>
      <c r="D691" s="28">
        <v>110591.3</v>
      </c>
      <c r="E691" s="28">
        <v>311.63023600000002</v>
      </c>
      <c r="F691" s="28">
        <v>1365.7</v>
      </c>
      <c r="G691" s="28">
        <v>129.65841599999999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4">
        <v>15</v>
      </c>
      <c r="B692" s="15">
        <v>45759</v>
      </c>
      <c r="C692" s="15">
        <v>45755</v>
      </c>
      <c r="D692" s="28">
        <v>110696.6</v>
      </c>
      <c r="E692" s="28">
        <v>304.964539</v>
      </c>
      <c r="F692" s="28">
        <v>9296.9</v>
      </c>
      <c r="G692" s="28">
        <v>101.330023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4">
        <v>16</v>
      </c>
      <c r="B693" s="15">
        <v>45766</v>
      </c>
      <c r="C693" s="15">
        <v>45764</v>
      </c>
      <c r="D693" s="28">
        <v>302846.15000000002</v>
      </c>
      <c r="E693" s="28">
        <v>300.65090600000002</v>
      </c>
      <c r="F693" s="28">
        <v>9736.4</v>
      </c>
      <c r="G693" s="28">
        <v>156.38178300000001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4">
        <v>17</v>
      </c>
      <c r="B694" s="15">
        <v>45773</v>
      </c>
      <c r="C694" s="15">
        <v>45769</v>
      </c>
      <c r="D694" s="33">
        <v>643726.19999999995</v>
      </c>
      <c r="E694" s="28">
        <v>311.84977600000002</v>
      </c>
      <c r="F694" s="33">
        <v>15354.7</v>
      </c>
      <c r="G694" s="28">
        <v>147.45360700000001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4">
        <v>18</v>
      </c>
      <c r="B695" s="15">
        <v>45780</v>
      </c>
      <c r="C695" s="15">
        <v>45776</v>
      </c>
      <c r="D695" s="28">
        <v>926469.44</v>
      </c>
      <c r="E695" s="28">
        <v>321.42351400000001</v>
      </c>
      <c r="F695" s="28">
        <v>29201.200000000001</v>
      </c>
      <c r="G695" s="28">
        <v>141.086051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4">
        <v>19</v>
      </c>
      <c r="B696" s="15">
        <v>45787</v>
      </c>
      <c r="C696" s="15">
        <v>45418</v>
      </c>
      <c r="D696" s="28">
        <v>879699.05</v>
      </c>
      <c r="E696" s="28">
        <v>325.54880100000003</v>
      </c>
      <c r="F696" s="28">
        <v>26708.400000000001</v>
      </c>
      <c r="G696" s="28">
        <v>146.92103900000001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4">
        <v>20</v>
      </c>
      <c r="B697" s="15">
        <v>45794</v>
      </c>
      <c r="C697" s="15">
        <v>45426</v>
      </c>
      <c r="D697" s="28">
        <v>765253.8</v>
      </c>
      <c r="E697" s="28">
        <v>323.39981599999999</v>
      </c>
      <c r="F697" s="28">
        <v>28710.2</v>
      </c>
      <c r="G697" s="28">
        <v>153.92547500000001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4">
        <v>21</v>
      </c>
      <c r="B698" s="15">
        <v>45801</v>
      </c>
      <c r="C698" s="15">
        <v>45797</v>
      </c>
      <c r="D698" s="28">
        <v>835315.65</v>
      </c>
      <c r="E698" s="28">
        <v>304.838616</v>
      </c>
      <c r="F698" s="28">
        <v>33636.199999999997</v>
      </c>
      <c r="G698" s="28">
        <v>150.17752300000001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4">
        <v>22</v>
      </c>
      <c r="B699" s="15">
        <v>45808</v>
      </c>
      <c r="C699" s="15">
        <v>45804</v>
      </c>
      <c r="D699" s="28">
        <v>692477.5</v>
      </c>
      <c r="E699" s="28">
        <v>309.29811999999998</v>
      </c>
      <c r="F699" s="28">
        <v>32379.5</v>
      </c>
      <c r="G699" s="28">
        <v>146.15202500000001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4">
        <v>23</v>
      </c>
      <c r="B700" s="15">
        <v>45815</v>
      </c>
      <c r="C700" s="15">
        <v>45811</v>
      </c>
      <c r="D700" s="28">
        <v>885785.3</v>
      </c>
      <c r="E700" s="28">
        <v>322.15885200000002</v>
      </c>
      <c r="F700" s="28">
        <v>28938.6</v>
      </c>
      <c r="G700" s="28">
        <v>148.14927399999999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4">
        <v>24</v>
      </c>
      <c r="B701" s="15">
        <v>45822</v>
      </c>
      <c r="C701" s="15">
        <v>45818</v>
      </c>
      <c r="D701" s="34">
        <v>1057547.25</v>
      </c>
      <c r="E701" s="34">
        <v>316.86815999999999</v>
      </c>
      <c r="F701" s="34">
        <v>47986.1</v>
      </c>
      <c r="G701" s="34">
        <v>147.24648300000001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4">
        <v>25</v>
      </c>
      <c r="B702" s="15">
        <v>45829</v>
      </c>
      <c r="C702" s="15">
        <v>45825</v>
      </c>
      <c r="D702" s="28">
        <v>675788.80000000005</v>
      </c>
      <c r="E702" s="28">
        <v>269.39845200000002</v>
      </c>
      <c r="F702" s="28">
        <v>40183</v>
      </c>
      <c r="G702" s="28">
        <v>149.513015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4">
        <v>26</v>
      </c>
      <c r="B703" s="15">
        <v>45836</v>
      </c>
      <c r="C703" s="15">
        <v>45832</v>
      </c>
      <c r="D703" s="28">
        <v>1019304.85</v>
      </c>
      <c r="E703" s="28">
        <v>290.64453600000002</v>
      </c>
      <c r="F703" s="28">
        <v>40292.5</v>
      </c>
      <c r="G703" s="28">
        <v>136.66536400000001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4">
        <v>27</v>
      </c>
      <c r="B704" s="15">
        <v>45843</v>
      </c>
      <c r="C704" s="15">
        <v>45839</v>
      </c>
      <c r="D704" s="28">
        <v>1140940.1499999999</v>
      </c>
      <c r="E704" s="28">
        <v>296.41625699999997</v>
      </c>
      <c r="F704" s="28">
        <v>40944.699999999997</v>
      </c>
      <c r="G704" s="28">
        <v>147.94717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4">
        <v>28</v>
      </c>
      <c r="B705" s="15">
        <v>45850</v>
      </c>
      <c r="C705" s="15">
        <v>45846</v>
      </c>
      <c r="D705" s="28">
        <v>1310440.2</v>
      </c>
      <c r="E705" s="28">
        <v>290.06868600000001</v>
      </c>
      <c r="F705" s="28">
        <v>34502.699999999997</v>
      </c>
      <c r="G705" s="28">
        <v>139.561103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4">
        <v>29</v>
      </c>
      <c r="B706" s="15">
        <v>45857</v>
      </c>
      <c r="C706" s="15">
        <v>45853</v>
      </c>
      <c r="D706" s="28">
        <v>1594288.3</v>
      </c>
      <c r="E706" s="28">
        <v>301.97309300000001</v>
      </c>
      <c r="F706" s="28">
        <v>31989.5</v>
      </c>
      <c r="G706" s="28">
        <v>138.57374999999999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4">
        <v>30</v>
      </c>
      <c r="B707" s="15">
        <v>45864</v>
      </c>
      <c r="C707" s="15">
        <v>45860</v>
      </c>
      <c r="D707" s="28">
        <v>1520988.55</v>
      </c>
      <c r="E707" s="28">
        <v>311.90849600000001</v>
      </c>
      <c r="F707" s="28">
        <v>38757.199999999997</v>
      </c>
      <c r="G707" s="28">
        <v>143.253176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4">
        <v>31</v>
      </c>
      <c r="B708" s="15">
        <v>45871</v>
      </c>
      <c r="C708" s="15">
        <v>45867</v>
      </c>
      <c r="D708" s="28">
        <v>1358462.45</v>
      </c>
      <c r="E708" s="28">
        <v>316.16200400000002</v>
      </c>
      <c r="F708" s="28">
        <v>27048.1</v>
      </c>
      <c r="G708" s="28">
        <v>139.70039299999999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4">
        <v>32</v>
      </c>
      <c r="B709" s="15">
        <v>45878</v>
      </c>
      <c r="C709" s="15">
        <v>45874</v>
      </c>
      <c r="D709" s="28">
        <v>1506833.7</v>
      </c>
      <c r="E709" s="28">
        <v>321.41741100000002</v>
      </c>
      <c r="F709" s="28">
        <v>51014.2</v>
      </c>
      <c r="G709" s="28">
        <v>128.65249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4">
        <v>33</v>
      </c>
      <c r="B710" s="15">
        <v>45885</v>
      </c>
      <c r="C710" s="15">
        <v>45881</v>
      </c>
      <c r="D710" s="28">
        <v>1432505.9</v>
      </c>
      <c r="E710" s="28">
        <v>303.04845899999998</v>
      </c>
      <c r="F710" s="28">
        <v>37636.199999999997</v>
      </c>
      <c r="G710" s="28">
        <v>117.77672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4">
        <v>34</v>
      </c>
      <c r="B711" s="15">
        <v>45892</v>
      </c>
      <c r="C711" s="15">
        <v>45888</v>
      </c>
      <c r="D711" s="28">
        <v>1426489.6</v>
      </c>
      <c r="E711" s="28">
        <v>301.32560599999999</v>
      </c>
      <c r="F711" s="28">
        <v>85003.6</v>
      </c>
      <c r="G711" s="28">
        <v>118.552498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4">
        <v>35</v>
      </c>
      <c r="B712" s="15">
        <v>45899</v>
      </c>
      <c r="C712" s="15">
        <v>45895</v>
      </c>
      <c r="D712" s="28">
        <v>1330477.8999999999</v>
      </c>
      <c r="E712" s="28">
        <v>287.86757399999999</v>
      </c>
      <c r="F712" s="28">
        <v>69258.100000000006</v>
      </c>
      <c r="G712" s="28">
        <v>123.25110100000001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4">
        <v>36</v>
      </c>
      <c r="B713" s="15">
        <v>45906</v>
      </c>
      <c r="C713" s="15">
        <v>45902</v>
      </c>
      <c r="D713" s="28">
        <v>1426098.4</v>
      </c>
      <c r="E713" s="28">
        <v>279.40936199999999</v>
      </c>
      <c r="F713" s="28">
        <v>71505.100000000006</v>
      </c>
      <c r="G713" s="28">
        <v>110.61334600000001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4">
        <v>37</v>
      </c>
      <c r="B714" s="15">
        <v>45913</v>
      </c>
      <c r="C714" s="15">
        <v>45909</v>
      </c>
      <c r="D714" s="28">
        <v>1278569.1000000001</v>
      </c>
      <c r="E714" s="28">
        <v>283.059752</v>
      </c>
      <c r="F714" s="28">
        <v>53320.7</v>
      </c>
      <c r="G714" s="28">
        <v>128.63455999999999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4">
        <v>38</v>
      </c>
      <c r="B715" s="15">
        <v>45920</v>
      </c>
      <c r="C715" s="15">
        <v>45916</v>
      </c>
      <c r="D715" s="28">
        <v>1469875.8</v>
      </c>
      <c r="E715" s="28">
        <v>279.73608400000001</v>
      </c>
      <c r="F715" s="28">
        <v>71994.600000000006</v>
      </c>
      <c r="G715" s="28">
        <v>146.71036799999999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4">
        <v>39</v>
      </c>
      <c r="B716" s="15">
        <v>45927</v>
      </c>
      <c r="C716" s="15">
        <v>45923</v>
      </c>
      <c r="D716" s="28">
        <v>1433495</v>
      </c>
      <c r="E716" s="28">
        <v>275.534516</v>
      </c>
      <c r="F716" s="28">
        <v>73490.2</v>
      </c>
      <c r="G716" s="28">
        <v>133.25932499999999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4">
        <v>40</v>
      </c>
      <c r="B717" s="15">
        <v>45934</v>
      </c>
      <c r="C717" s="15"/>
      <c r="D717" s="28">
        <v>0</v>
      </c>
      <c r="E717" s="28">
        <v>0</v>
      </c>
      <c r="F717" s="28">
        <v>0</v>
      </c>
      <c r="G717" s="28">
        <v>0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4">
        <v>41</v>
      </c>
      <c r="B718" s="15">
        <v>45941</v>
      </c>
      <c r="C718" s="15">
        <v>45938</v>
      </c>
      <c r="D718" s="28">
        <v>1310819.7</v>
      </c>
      <c r="E718" s="28">
        <v>282.46147400000001</v>
      </c>
      <c r="F718" s="28">
        <v>48996.2</v>
      </c>
      <c r="G718" s="28">
        <v>133.25210100000001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4">
        <v>42</v>
      </c>
      <c r="B719" s="15">
        <v>45948</v>
      </c>
      <c r="C719" s="15">
        <v>45944</v>
      </c>
      <c r="D719" s="28">
        <v>1222525.1000000001</v>
      </c>
      <c r="E719" s="28">
        <v>289.90600499999999</v>
      </c>
      <c r="F719" s="28">
        <v>54593.599999999999</v>
      </c>
      <c r="G719" s="28">
        <v>132.94770800000001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11"/>
      <c r="C720" s="11"/>
      <c r="D720" s="30"/>
      <c r="E720" s="30"/>
      <c r="F720" s="30"/>
      <c r="G720" s="30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11"/>
      <c r="C721" s="11"/>
      <c r="D721" s="30"/>
      <c r="E721" s="30"/>
      <c r="F721" s="30"/>
      <c r="G721" s="30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11"/>
      <c r="C722" s="11"/>
      <c r="D722" s="30"/>
      <c r="E722" s="30"/>
      <c r="F722" s="30"/>
      <c r="G722" s="30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11"/>
      <c r="C723" s="11"/>
      <c r="D723" s="30"/>
      <c r="E723" s="30"/>
      <c r="F723" s="30"/>
      <c r="G723" s="30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11"/>
      <c r="C724" s="11"/>
      <c r="D724" s="30"/>
      <c r="E724" s="30"/>
      <c r="F724" s="30"/>
      <c r="G724" s="30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11"/>
      <c r="C725" s="11"/>
      <c r="D725" s="30"/>
      <c r="E725" s="30"/>
      <c r="F725" s="30"/>
      <c r="G725" s="30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11"/>
      <c r="C726" s="11"/>
      <c r="D726" s="30"/>
      <c r="E726" s="30"/>
      <c r="F726" s="30"/>
      <c r="G726" s="30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11"/>
      <c r="C727" s="11"/>
      <c r="D727" s="30"/>
      <c r="E727" s="30"/>
      <c r="F727" s="30"/>
      <c r="G727" s="30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11"/>
      <c r="C728" s="11"/>
      <c r="D728" s="30"/>
      <c r="E728" s="30"/>
      <c r="F728" s="30"/>
      <c r="G728" s="30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11"/>
      <c r="C729" s="11"/>
      <c r="D729" s="30"/>
      <c r="E729" s="30"/>
      <c r="F729" s="30"/>
      <c r="G729" s="30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11"/>
      <c r="C730" s="11"/>
      <c r="D730" s="30"/>
      <c r="E730" s="30"/>
      <c r="F730" s="30"/>
      <c r="G730" s="30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11"/>
      <c r="C731" s="11"/>
      <c r="D731" s="30"/>
      <c r="E731" s="30"/>
      <c r="F731" s="30"/>
      <c r="G731" s="30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11"/>
      <c r="C732" s="11"/>
      <c r="D732" s="30"/>
      <c r="E732" s="30"/>
      <c r="F732" s="30"/>
      <c r="G732" s="30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11"/>
      <c r="C733" s="11"/>
      <c r="D733" s="30"/>
      <c r="E733" s="30"/>
      <c r="F733" s="30"/>
      <c r="G733" s="30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11"/>
      <c r="C734" s="11"/>
      <c r="D734" s="30"/>
      <c r="E734" s="30"/>
      <c r="F734" s="30"/>
      <c r="G734" s="30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11"/>
      <c r="C735" s="11"/>
      <c r="D735" s="30"/>
      <c r="E735" s="30"/>
      <c r="F735" s="30"/>
      <c r="G735" s="30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11"/>
      <c r="C736" s="11"/>
      <c r="D736" s="30"/>
      <c r="E736" s="30"/>
      <c r="F736" s="30"/>
      <c r="G736" s="30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11"/>
      <c r="C737" s="11"/>
      <c r="D737" s="30"/>
      <c r="E737" s="30"/>
      <c r="F737" s="30"/>
      <c r="G737" s="30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11"/>
      <c r="C738" s="11"/>
      <c r="D738" s="30"/>
      <c r="E738" s="30"/>
      <c r="F738" s="30"/>
      <c r="G738" s="30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11"/>
      <c r="C739" s="11"/>
      <c r="D739" s="30"/>
      <c r="E739" s="30"/>
      <c r="F739" s="30"/>
      <c r="G739" s="30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11"/>
      <c r="C740" s="11"/>
      <c r="D740" s="30"/>
      <c r="E740" s="30"/>
      <c r="F740" s="30"/>
      <c r="G740" s="30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11"/>
      <c r="C741" s="11"/>
      <c r="D741" s="30"/>
      <c r="E741" s="30"/>
      <c r="F741" s="30"/>
      <c r="G741" s="30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11"/>
      <c r="C742" s="11"/>
      <c r="D742" s="30"/>
      <c r="E742" s="30"/>
      <c r="F742" s="30"/>
      <c r="G742" s="30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11"/>
      <c r="C743" s="11"/>
      <c r="D743" s="30"/>
      <c r="E743" s="30"/>
      <c r="F743" s="30"/>
      <c r="G743" s="30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11"/>
      <c r="C744" s="11"/>
      <c r="D744" s="30"/>
      <c r="E744" s="30"/>
      <c r="F744" s="30"/>
      <c r="G744" s="30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11"/>
      <c r="C745" s="11"/>
      <c r="D745" s="30"/>
      <c r="E745" s="30"/>
      <c r="F745" s="30"/>
      <c r="G745" s="30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11"/>
      <c r="C746" s="11"/>
      <c r="D746" s="30"/>
      <c r="E746" s="30"/>
      <c r="F746" s="30"/>
      <c r="G746" s="30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11"/>
      <c r="C747" s="11"/>
      <c r="D747" s="30"/>
      <c r="E747" s="30"/>
      <c r="F747" s="30"/>
      <c r="G747" s="30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11"/>
      <c r="C748" s="11"/>
      <c r="D748" s="30"/>
      <c r="E748" s="30"/>
      <c r="F748" s="30"/>
      <c r="G748" s="30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11"/>
      <c r="C749" s="11"/>
      <c r="D749" s="30"/>
      <c r="E749" s="30"/>
      <c r="F749" s="30"/>
      <c r="G749" s="30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11"/>
      <c r="C750" s="11"/>
      <c r="D750" s="30"/>
      <c r="E750" s="30"/>
      <c r="F750" s="30"/>
      <c r="G750" s="30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11"/>
      <c r="C751" s="11"/>
      <c r="D751" s="30"/>
      <c r="E751" s="30"/>
      <c r="F751" s="30"/>
      <c r="G751" s="30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11"/>
      <c r="C752" s="11"/>
      <c r="D752" s="30"/>
      <c r="E752" s="30"/>
      <c r="F752" s="30"/>
      <c r="G752" s="30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11"/>
      <c r="C753" s="11"/>
      <c r="D753" s="30"/>
      <c r="E753" s="30"/>
      <c r="F753" s="30"/>
      <c r="G753" s="30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11"/>
      <c r="C754" s="11"/>
      <c r="D754" s="30"/>
      <c r="E754" s="30"/>
      <c r="F754" s="30"/>
      <c r="G754" s="30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11"/>
      <c r="C755" s="11"/>
      <c r="D755" s="30"/>
      <c r="E755" s="30"/>
      <c r="F755" s="30"/>
      <c r="G755" s="30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11"/>
      <c r="C756" s="11"/>
      <c r="D756" s="30"/>
      <c r="E756" s="30"/>
      <c r="F756" s="30"/>
      <c r="G756" s="30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11"/>
      <c r="C757" s="11"/>
      <c r="D757" s="30"/>
      <c r="E757" s="30"/>
      <c r="F757" s="30"/>
      <c r="G757" s="30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11"/>
      <c r="C758" s="11"/>
      <c r="D758" s="30"/>
      <c r="E758" s="30"/>
      <c r="F758" s="30"/>
      <c r="G758" s="30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11"/>
      <c r="C759" s="11"/>
      <c r="D759" s="30"/>
      <c r="E759" s="30"/>
      <c r="F759" s="30"/>
      <c r="G759" s="30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11"/>
      <c r="C760" s="11"/>
      <c r="D760" s="30"/>
      <c r="E760" s="30"/>
      <c r="F760" s="30"/>
      <c r="G760" s="30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11"/>
      <c r="C761" s="11"/>
      <c r="D761" s="30"/>
      <c r="E761" s="30"/>
      <c r="F761" s="30"/>
      <c r="G761" s="30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11"/>
      <c r="C762" s="11"/>
      <c r="D762" s="30"/>
      <c r="E762" s="30"/>
      <c r="F762" s="30"/>
      <c r="G762" s="30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11"/>
      <c r="C763" s="11"/>
      <c r="D763" s="30"/>
      <c r="E763" s="30"/>
      <c r="F763" s="30"/>
      <c r="G763" s="30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11"/>
      <c r="C764" s="11"/>
      <c r="D764" s="30"/>
      <c r="E764" s="30"/>
      <c r="F764" s="30"/>
      <c r="G764" s="30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11"/>
      <c r="C765" s="11"/>
      <c r="D765" s="30"/>
      <c r="E765" s="30"/>
      <c r="F765" s="30"/>
      <c r="G765" s="30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11"/>
      <c r="C766" s="11"/>
      <c r="D766" s="30"/>
      <c r="E766" s="30"/>
      <c r="F766" s="30"/>
      <c r="G766" s="30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11"/>
      <c r="C767" s="11"/>
      <c r="D767" s="30"/>
      <c r="E767" s="30"/>
      <c r="F767" s="30"/>
      <c r="G767" s="30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11"/>
      <c r="C768" s="11"/>
      <c r="D768" s="30"/>
      <c r="E768" s="30"/>
      <c r="F768" s="30"/>
      <c r="G768" s="30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11"/>
      <c r="C769" s="11"/>
      <c r="D769" s="30"/>
      <c r="E769" s="30"/>
      <c r="F769" s="30"/>
      <c r="G769" s="30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11"/>
      <c r="C770" s="11"/>
      <c r="D770" s="30"/>
      <c r="E770" s="30"/>
      <c r="F770" s="30"/>
      <c r="G770" s="30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11"/>
      <c r="C771" s="11"/>
      <c r="D771" s="30"/>
      <c r="E771" s="30"/>
      <c r="F771" s="30"/>
      <c r="G771" s="30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11"/>
      <c r="C772" s="11"/>
      <c r="D772" s="30"/>
      <c r="E772" s="30"/>
      <c r="F772" s="30"/>
      <c r="G772" s="30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11"/>
      <c r="C773" s="11"/>
      <c r="D773" s="30"/>
      <c r="E773" s="30"/>
      <c r="F773" s="30"/>
      <c r="G773" s="30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11"/>
      <c r="C774" s="11"/>
      <c r="D774" s="30"/>
      <c r="E774" s="30"/>
      <c r="F774" s="30"/>
      <c r="G774" s="30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11"/>
      <c r="C775" s="11"/>
      <c r="D775" s="30"/>
      <c r="E775" s="30"/>
      <c r="F775" s="30"/>
      <c r="G775" s="30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11"/>
      <c r="C776" s="11"/>
      <c r="D776" s="30"/>
      <c r="E776" s="30"/>
      <c r="F776" s="30"/>
      <c r="G776" s="30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11"/>
      <c r="C777" s="11"/>
      <c r="D777" s="30"/>
      <c r="E777" s="30"/>
      <c r="F777" s="30"/>
      <c r="G777" s="30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11"/>
      <c r="C778" s="11"/>
      <c r="D778" s="30"/>
      <c r="E778" s="30"/>
      <c r="F778" s="30"/>
      <c r="G778" s="30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11"/>
      <c r="C779" s="11"/>
      <c r="D779" s="30"/>
      <c r="E779" s="30"/>
      <c r="F779" s="30"/>
      <c r="G779" s="30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11"/>
      <c r="C780" s="11"/>
      <c r="D780" s="30"/>
      <c r="E780" s="30"/>
      <c r="F780" s="30"/>
      <c r="G780" s="30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11"/>
      <c r="C781" s="11"/>
      <c r="D781" s="30"/>
      <c r="E781" s="30"/>
      <c r="F781" s="30"/>
      <c r="G781" s="30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11"/>
      <c r="C782" s="11"/>
      <c r="D782" s="30"/>
      <c r="E782" s="30"/>
      <c r="F782" s="30"/>
      <c r="G782" s="30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11"/>
      <c r="C783" s="11"/>
      <c r="D783" s="30"/>
      <c r="E783" s="30"/>
      <c r="F783" s="30"/>
      <c r="G783" s="30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11"/>
      <c r="C784" s="11"/>
      <c r="D784" s="30"/>
      <c r="E784" s="30"/>
      <c r="F784" s="30"/>
      <c r="G784" s="30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11"/>
      <c r="C785" s="11"/>
      <c r="D785" s="30"/>
      <c r="E785" s="30"/>
      <c r="F785" s="30"/>
      <c r="G785" s="30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11"/>
      <c r="C786" s="11"/>
      <c r="D786" s="30"/>
      <c r="E786" s="30"/>
      <c r="F786" s="30"/>
      <c r="G786" s="30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11"/>
      <c r="C787" s="11"/>
      <c r="D787" s="30"/>
      <c r="E787" s="30"/>
      <c r="F787" s="30"/>
      <c r="G787" s="30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11"/>
      <c r="C788" s="11"/>
      <c r="D788" s="30"/>
      <c r="E788" s="30"/>
      <c r="F788" s="30"/>
      <c r="G788" s="30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11"/>
      <c r="C789" s="11"/>
      <c r="D789" s="30"/>
      <c r="E789" s="30"/>
      <c r="F789" s="30"/>
      <c r="G789" s="30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11"/>
      <c r="C790" s="11"/>
      <c r="D790" s="30"/>
      <c r="E790" s="30"/>
      <c r="F790" s="30"/>
      <c r="G790" s="30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11"/>
      <c r="C791" s="11"/>
      <c r="D791" s="30"/>
      <c r="E791" s="30"/>
      <c r="F791" s="30"/>
      <c r="G791" s="30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11"/>
      <c r="C792" s="11"/>
      <c r="D792" s="30"/>
      <c r="E792" s="30"/>
      <c r="F792" s="30"/>
      <c r="G792" s="30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11"/>
      <c r="C793" s="11"/>
      <c r="D793" s="30"/>
      <c r="E793" s="30"/>
      <c r="F793" s="30"/>
      <c r="G793" s="30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11"/>
      <c r="C794" s="11"/>
      <c r="D794" s="30"/>
      <c r="E794" s="30"/>
      <c r="F794" s="30"/>
      <c r="G794" s="30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11"/>
      <c r="C795" s="11"/>
      <c r="D795" s="30"/>
      <c r="E795" s="30"/>
      <c r="F795" s="30"/>
      <c r="G795" s="30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11"/>
      <c r="C796" s="11"/>
      <c r="D796" s="30"/>
      <c r="E796" s="30"/>
      <c r="F796" s="30"/>
      <c r="G796" s="30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11"/>
      <c r="C797" s="11"/>
      <c r="D797" s="30"/>
      <c r="E797" s="30"/>
      <c r="F797" s="30"/>
      <c r="G797" s="30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11"/>
      <c r="C798" s="11"/>
      <c r="D798" s="30"/>
      <c r="E798" s="30"/>
      <c r="F798" s="30"/>
      <c r="G798" s="30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11"/>
      <c r="C799" s="11"/>
      <c r="D799" s="30"/>
      <c r="E799" s="30"/>
      <c r="F799" s="30"/>
      <c r="G799" s="30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11"/>
      <c r="C800" s="11"/>
      <c r="D800" s="30"/>
      <c r="E800" s="30"/>
      <c r="F800" s="30"/>
      <c r="G800" s="30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11"/>
      <c r="C801" s="11"/>
      <c r="D801" s="30"/>
      <c r="E801" s="30"/>
      <c r="F801" s="30"/>
      <c r="G801" s="30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11"/>
      <c r="C802" s="11"/>
      <c r="D802" s="30"/>
      <c r="E802" s="30"/>
      <c r="F802" s="30"/>
      <c r="G802" s="30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11"/>
      <c r="C803" s="11"/>
      <c r="D803" s="30"/>
      <c r="E803" s="30"/>
      <c r="F803" s="30"/>
      <c r="G803" s="30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11"/>
      <c r="C804" s="11"/>
      <c r="D804" s="30"/>
      <c r="E804" s="30"/>
      <c r="F804" s="30"/>
      <c r="G804" s="30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11"/>
      <c r="C805" s="11"/>
      <c r="D805" s="30"/>
      <c r="E805" s="30"/>
      <c r="F805" s="30"/>
      <c r="G805" s="30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11"/>
      <c r="C806" s="11"/>
      <c r="D806" s="30"/>
      <c r="E806" s="30"/>
      <c r="F806" s="30"/>
      <c r="G806" s="30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11"/>
      <c r="C807" s="11"/>
      <c r="D807" s="30"/>
      <c r="E807" s="30"/>
      <c r="F807" s="30"/>
      <c r="G807" s="30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11"/>
      <c r="C808" s="11"/>
      <c r="D808" s="30"/>
      <c r="E808" s="30"/>
      <c r="F808" s="30"/>
      <c r="G808" s="30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11"/>
      <c r="C809" s="11"/>
      <c r="D809" s="30"/>
      <c r="E809" s="30"/>
      <c r="F809" s="30"/>
      <c r="G809" s="30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11"/>
      <c r="C810" s="11"/>
      <c r="D810" s="30"/>
      <c r="E810" s="30"/>
      <c r="F810" s="30"/>
      <c r="G810" s="30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11"/>
      <c r="C811" s="11"/>
      <c r="D811" s="30"/>
      <c r="E811" s="30"/>
      <c r="F811" s="30"/>
      <c r="G811" s="30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11"/>
      <c r="C812" s="11"/>
      <c r="D812" s="30"/>
      <c r="E812" s="30"/>
      <c r="F812" s="30"/>
      <c r="G812" s="30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11"/>
      <c r="C813" s="11"/>
      <c r="D813" s="30"/>
      <c r="E813" s="30"/>
      <c r="F813" s="30"/>
      <c r="G813" s="30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11"/>
      <c r="C814" s="11"/>
      <c r="D814" s="30"/>
      <c r="E814" s="30"/>
      <c r="F814" s="30"/>
      <c r="G814" s="30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11"/>
      <c r="C815" s="11"/>
      <c r="D815" s="30"/>
      <c r="E815" s="30"/>
      <c r="F815" s="30"/>
      <c r="G815" s="30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11"/>
      <c r="C816" s="11"/>
      <c r="D816" s="30"/>
      <c r="E816" s="30"/>
      <c r="F816" s="30"/>
      <c r="G816" s="30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11"/>
      <c r="C817" s="11"/>
      <c r="D817" s="30"/>
      <c r="E817" s="30"/>
      <c r="F817" s="30"/>
      <c r="G817" s="30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11"/>
      <c r="C818" s="11"/>
      <c r="D818" s="30"/>
      <c r="E818" s="30"/>
      <c r="F818" s="30"/>
      <c r="G818" s="30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11"/>
      <c r="C819" s="11"/>
      <c r="D819" s="30"/>
      <c r="E819" s="30"/>
      <c r="F819" s="30"/>
      <c r="G819" s="30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11"/>
      <c r="C820" s="11"/>
      <c r="D820" s="30"/>
      <c r="E820" s="30"/>
      <c r="F820" s="30"/>
      <c r="G820" s="30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11"/>
      <c r="C821" s="11"/>
      <c r="D821" s="30"/>
      <c r="E821" s="30"/>
      <c r="F821" s="30"/>
      <c r="G821" s="30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11"/>
      <c r="C822" s="11"/>
      <c r="D822" s="30"/>
      <c r="E822" s="30"/>
      <c r="F822" s="30"/>
      <c r="G822" s="30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11"/>
      <c r="C823" s="11"/>
      <c r="D823" s="30"/>
      <c r="E823" s="30"/>
      <c r="F823" s="30"/>
      <c r="G823" s="30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11"/>
      <c r="C824" s="11"/>
      <c r="D824" s="30"/>
      <c r="E824" s="30"/>
      <c r="F824" s="30"/>
      <c r="G824" s="30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11"/>
      <c r="C825" s="11"/>
      <c r="D825" s="30"/>
      <c r="E825" s="30"/>
      <c r="F825" s="30"/>
      <c r="G825" s="30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11"/>
      <c r="C826" s="11"/>
      <c r="D826" s="30"/>
      <c r="E826" s="30"/>
      <c r="F826" s="30"/>
      <c r="G826" s="30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11"/>
      <c r="C827" s="11"/>
      <c r="D827" s="30"/>
      <c r="E827" s="30"/>
      <c r="F827" s="30"/>
      <c r="G827" s="30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11"/>
      <c r="C828" s="11"/>
      <c r="D828" s="30"/>
      <c r="E828" s="30"/>
      <c r="F828" s="30"/>
      <c r="G828" s="30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11"/>
      <c r="C829" s="11"/>
      <c r="D829" s="30"/>
      <c r="E829" s="30"/>
      <c r="F829" s="30"/>
      <c r="G829" s="30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11"/>
      <c r="C830" s="11"/>
      <c r="D830" s="30"/>
      <c r="E830" s="30"/>
      <c r="F830" s="30"/>
      <c r="G830" s="30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11"/>
      <c r="C831" s="11"/>
      <c r="D831" s="30"/>
      <c r="E831" s="30"/>
      <c r="F831" s="30"/>
      <c r="G831" s="30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11"/>
      <c r="C832" s="11"/>
      <c r="D832" s="30"/>
      <c r="E832" s="30"/>
      <c r="F832" s="30"/>
      <c r="G832" s="30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11"/>
      <c r="C833" s="11"/>
      <c r="D833" s="30"/>
      <c r="E833" s="30"/>
      <c r="F833" s="30"/>
      <c r="G833" s="30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11"/>
      <c r="C834" s="11"/>
      <c r="D834" s="30"/>
      <c r="E834" s="30"/>
      <c r="F834" s="30"/>
      <c r="G834" s="30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11"/>
      <c r="C835" s="11"/>
      <c r="D835" s="30"/>
      <c r="E835" s="30"/>
      <c r="F835" s="30"/>
      <c r="G835" s="30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11"/>
      <c r="C836" s="11"/>
      <c r="D836" s="30"/>
      <c r="E836" s="30"/>
      <c r="F836" s="30"/>
      <c r="G836" s="30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11"/>
      <c r="C837" s="11"/>
      <c r="D837" s="30"/>
      <c r="E837" s="30"/>
      <c r="F837" s="30"/>
      <c r="G837" s="30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11"/>
      <c r="C838" s="11"/>
      <c r="D838" s="30"/>
      <c r="E838" s="30"/>
      <c r="F838" s="30"/>
      <c r="G838" s="30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11"/>
      <c r="C839" s="11"/>
      <c r="D839" s="30"/>
      <c r="E839" s="30"/>
      <c r="F839" s="30"/>
      <c r="G839" s="30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11"/>
      <c r="C840" s="11"/>
      <c r="D840" s="30"/>
      <c r="E840" s="30"/>
      <c r="F840" s="30"/>
      <c r="G840" s="30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11"/>
      <c r="C841" s="11"/>
      <c r="D841" s="30"/>
      <c r="E841" s="30"/>
      <c r="F841" s="30"/>
      <c r="G841" s="30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11"/>
      <c r="C842" s="11"/>
      <c r="D842" s="30"/>
      <c r="E842" s="30"/>
      <c r="F842" s="30"/>
      <c r="G842" s="30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11"/>
      <c r="C843" s="11"/>
      <c r="D843" s="30"/>
      <c r="E843" s="30"/>
      <c r="F843" s="30"/>
      <c r="G843" s="30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11"/>
      <c r="C844" s="11"/>
      <c r="D844" s="30"/>
      <c r="E844" s="30"/>
      <c r="F844" s="30"/>
      <c r="G844" s="30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11"/>
      <c r="C845" s="11"/>
      <c r="D845" s="30"/>
      <c r="E845" s="30"/>
      <c r="F845" s="30"/>
      <c r="G845" s="30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11"/>
      <c r="C846" s="11"/>
      <c r="D846" s="30"/>
      <c r="E846" s="30"/>
      <c r="F846" s="30"/>
      <c r="G846" s="30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11"/>
      <c r="C847" s="11"/>
      <c r="D847" s="30"/>
      <c r="E847" s="30"/>
      <c r="F847" s="30"/>
      <c r="G847" s="30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11"/>
      <c r="C848" s="11"/>
      <c r="D848" s="30"/>
      <c r="E848" s="30"/>
      <c r="F848" s="30"/>
      <c r="G848" s="30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11"/>
      <c r="C849" s="11"/>
      <c r="D849" s="30"/>
      <c r="E849" s="30"/>
      <c r="F849" s="30"/>
      <c r="G849" s="30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11"/>
      <c r="C850" s="11"/>
      <c r="D850" s="30"/>
      <c r="E850" s="30"/>
      <c r="F850" s="30"/>
      <c r="G850" s="30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11"/>
      <c r="C851" s="11"/>
      <c r="D851" s="30"/>
      <c r="E851" s="30"/>
      <c r="F851" s="30"/>
      <c r="G851" s="30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11"/>
      <c r="C852" s="11"/>
      <c r="D852" s="30"/>
      <c r="E852" s="30"/>
      <c r="F852" s="30"/>
      <c r="G852" s="30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11"/>
      <c r="C853" s="11"/>
      <c r="D853" s="30"/>
      <c r="E853" s="30"/>
      <c r="F853" s="30"/>
      <c r="G853" s="30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11"/>
      <c r="C854" s="11"/>
      <c r="D854" s="30"/>
      <c r="E854" s="30"/>
      <c r="F854" s="30"/>
      <c r="G854" s="30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11"/>
      <c r="C855" s="11"/>
      <c r="D855" s="30"/>
      <c r="E855" s="30"/>
      <c r="F855" s="30"/>
      <c r="G855" s="30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11"/>
      <c r="C856" s="11"/>
      <c r="D856" s="30"/>
      <c r="E856" s="30"/>
      <c r="F856" s="30"/>
      <c r="G856" s="30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11"/>
      <c r="C857" s="11"/>
      <c r="D857" s="30"/>
      <c r="E857" s="30"/>
      <c r="F857" s="30"/>
      <c r="G857" s="30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11"/>
      <c r="C858" s="11"/>
      <c r="D858" s="30"/>
      <c r="E858" s="30"/>
      <c r="F858" s="30"/>
      <c r="G858" s="30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11"/>
      <c r="C859" s="11"/>
      <c r="D859" s="30"/>
      <c r="E859" s="30"/>
      <c r="F859" s="30"/>
      <c r="G859" s="30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11"/>
      <c r="C860" s="11"/>
      <c r="D860" s="30"/>
      <c r="E860" s="30"/>
      <c r="F860" s="30"/>
      <c r="G860" s="30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11"/>
      <c r="C861" s="11"/>
      <c r="D861" s="30"/>
      <c r="E861" s="30"/>
      <c r="F861" s="30"/>
      <c r="G861" s="30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11"/>
      <c r="C862" s="11"/>
      <c r="D862" s="30"/>
      <c r="E862" s="30"/>
      <c r="F862" s="30"/>
      <c r="G862" s="30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11"/>
      <c r="C863" s="11"/>
      <c r="D863" s="30"/>
      <c r="E863" s="30"/>
      <c r="F863" s="30"/>
      <c r="G863" s="30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11"/>
      <c r="C864" s="11"/>
      <c r="D864" s="30"/>
      <c r="E864" s="30"/>
      <c r="F864" s="30"/>
      <c r="G864" s="30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11"/>
      <c r="C865" s="11"/>
      <c r="D865" s="30"/>
      <c r="E865" s="30"/>
      <c r="F865" s="30"/>
      <c r="G865" s="30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11"/>
      <c r="C866" s="11"/>
      <c r="D866" s="30"/>
      <c r="E866" s="30"/>
      <c r="F866" s="30"/>
      <c r="G866" s="30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11"/>
      <c r="C867" s="11"/>
      <c r="D867" s="30"/>
      <c r="E867" s="30"/>
      <c r="F867" s="30"/>
      <c r="G867" s="30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11"/>
      <c r="C868" s="11"/>
      <c r="D868" s="30"/>
      <c r="E868" s="30"/>
      <c r="F868" s="30"/>
      <c r="G868" s="30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11"/>
      <c r="C869" s="11"/>
      <c r="D869" s="30"/>
      <c r="E869" s="30"/>
      <c r="F869" s="30"/>
      <c r="G869" s="30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11"/>
      <c r="C870" s="11"/>
      <c r="D870" s="30"/>
      <c r="E870" s="30"/>
      <c r="F870" s="30"/>
      <c r="G870" s="30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11"/>
      <c r="C871" s="11"/>
      <c r="D871" s="30"/>
      <c r="E871" s="30"/>
      <c r="F871" s="30"/>
      <c r="G871" s="30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11"/>
      <c r="C872" s="11"/>
      <c r="D872" s="30"/>
      <c r="E872" s="30"/>
      <c r="F872" s="30"/>
      <c r="G872" s="30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11"/>
      <c r="C873" s="11"/>
      <c r="D873" s="30"/>
      <c r="E873" s="30"/>
      <c r="F873" s="30"/>
      <c r="G873" s="30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11"/>
      <c r="C874" s="11"/>
      <c r="D874" s="30"/>
      <c r="E874" s="30"/>
      <c r="F874" s="30"/>
      <c r="G874" s="30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11"/>
      <c r="C875" s="11"/>
      <c r="D875" s="30"/>
      <c r="E875" s="30"/>
      <c r="F875" s="30"/>
      <c r="G875" s="30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11"/>
      <c r="C876" s="11"/>
      <c r="D876" s="30"/>
      <c r="E876" s="30"/>
      <c r="F876" s="30"/>
      <c r="G876" s="30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11"/>
      <c r="C877" s="11"/>
      <c r="D877" s="30"/>
      <c r="E877" s="30"/>
      <c r="F877" s="30"/>
      <c r="G877" s="30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11"/>
      <c r="C878" s="11"/>
      <c r="D878" s="30"/>
      <c r="E878" s="30"/>
      <c r="F878" s="30"/>
      <c r="G878" s="30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11"/>
      <c r="C879" s="11"/>
      <c r="D879" s="30"/>
      <c r="E879" s="30"/>
      <c r="F879" s="30"/>
      <c r="G879" s="30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11"/>
      <c r="C880" s="11"/>
      <c r="D880" s="30"/>
      <c r="E880" s="30"/>
      <c r="F880" s="30"/>
      <c r="G880" s="30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11"/>
      <c r="C881" s="11"/>
      <c r="D881" s="30"/>
      <c r="E881" s="30"/>
      <c r="F881" s="30"/>
      <c r="G881" s="30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11"/>
      <c r="C882" s="11"/>
      <c r="D882" s="30"/>
      <c r="E882" s="30"/>
      <c r="F882" s="30"/>
      <c r="G882" s="30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11"/>
      <c r="C883" s="11"/>
      <c r="D883" s="30"/>
      <c r="E883" s="30"/>
      <c r="F883" s="30"/>
      <c r="G883" s="30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11"/>
      <c r="C884" s="11"/>
      <c r="D884" s="30"/>
      <c r="E884" s="30"/>
      <c r="F884" s="30"/>
      <c r="G884" s="30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11"/>
      <c r="C885" s="11"/>
      <c r="D885" s="30"/>
      <c r="E885" s="30"/>
      <c r="F885" s="30"/>
      <c r="G885" s="30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11"/>
      <c r="C886" s="11"/>
      <c r="D886" s="30"/>
      <c r="E886" s="30"/>
      <c r="F886" s="30"/>
      <c r="G886" s="30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11"/>
      <c r="C887" s="11"/>
      <c r="D887" s="30"/>
      <c r="E887" s="30"/>
      <c r="F887" s="30"/>
      <c r="G887" s="30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11"/>
      <c r="C888" s="11"/>
      <c r="D888" s="30"/>
      <c r="E888" s="30"/>
      <c r="F888" s="30"/>
      <c r="G888" s="30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11"/>
      <c r="C889" s="11"/>
      <c r="D889" s="30"/>
      <c r="E889" s="30"/>
      <c r="F889" s="30"/>
      <c r="G889" s="30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11"/>
      <c r="C890" s="11"/>
      <c r="D890" s="30"/>
      <c r="E890" s="30"/>
      <c r="F890" s="30"/>
      <c r="G890" s="30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11"/>
      <c r="C891" s="11"/>
      <c r="D891" s="30"/>
      <c r="E891" s="30"/>
      <c r="F891" s="30"/>
      <c r="G891" s="30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11"/>
      <c r="C892" s="11"/>
      <c r="D892" s="30"/>
      <c r="E892" s="30"/>
      <c r="F892" s="30"/>
      <c r="G892" s="30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11"/>
      <c r="C893" s="11"/>
      <c r="D893" s="30"/>
      <c r="E893" s="30"/>
      <c r="F893" s="30"/>
      <c r="G893" s="30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11"/>
      <c r="C894" s="11"/>
      <c r="D894" s="30"/>
      <c r="E894" s="30"/>
      <c r="F894" s="30"/>
      <c r="G894" s="30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11"/>
      <c r="C895" s="11"/>
      <c r="D895" s="30"/>
      <c r="E895" s="30"/>
      <c r="F895" s="30"/>
      <c r="G895" s="30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11"/>
      <c r="C896" s="11"/>
      <c r="D896" s="30"/>
      <c r="E896" s="30"/>
      <c r="F896" s="30"/>
      <c r="G896" s="30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11"/>
      <c r="C897" s="11"/>
      <c r="D897" s="30"/>
      <c r="E897" s="30"/>
      <c r="F897" s="30"/>
      <c r="G897" s="30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11"/>
      <c r="C898" s="11"/>
      <c r="D898" s="30"/>
      <c r="E898" s="30"/>
      <c r="F898" s="30"/>
      <c r="G898" s="30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11"/>
      <c r="C899" s="11"/>
      <c r="D899" s="30"/>
      <c r="E899" s="30"/>
      <c r="F899" s="30"/>
      <c r="G899" s="30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11"/>
      <c r="C900" s="11"/>
      <c r="D900" s="30"/>
      <c r="E900" s="30"/>
      <c r="F900" s="30"/>
      <c r="G900" s="30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11"/>
      <c r="C901" s="11"/>
      <c r="D901" s="30"/>
      <c r="E901" s="30"/>
      <c r="F901" s="30"/>
      <c r="G901" s="30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11"/>
      <c r="C902" s="11"/>
      <c r="D902" s="30"/>
      <c r="E902" s="30"/>
      <c r="F902" s="30"/>
      <c r="G902" s="30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11"/>
      <c r="C903" s="11"/>
      <c r="D903" s="30"/>
      <c r="E903" s="30"/>
      <c r="F903" s="30"/>
      <c r="G903" s="30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11"/>
      <c r="C904" s="11"/>
      <c r="D904" s="30"/>
      <c r="E904" s="30"/>
      <c r="F904" s="30"/>
      <c r="G904" s="30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11"/>
      <c r="C905" s="11"/>
      <c r="D905" s="30"/>
      <c r="E905" s="30"/>
      <c r="F905" s="30"/>
      <c r="G905" s="30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11"/>
      <c r="C906" s="11"/>
      <c r="D906" s="30"/>
      <c r="E906" s="30"/>
      <c r="F906" s="30"/>
      <c r="G906" s="30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11"/>
      <c r="C907" s="11"/>
      <c r="D907" s="30"/>
      <c r="E907" s="30"/>
      <c r="F907" s="30"/>
      <c r="G907" s="30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11"/>
      <c r="C908" s="11"/>
      <c r="D908" s="30"/>
      <c r="E908" s="30"/>
      <c r="F908" s="30"/>
      <c r="G908" s="30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11"/>
      <c r="C909" s="11"/>
      <c r="D909" s="30"/>
      <c r="E909" s="30"/>
      <c r="F909" s="30"/>
      <c r="G909" s="30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11"/>
      <c r="C910" s="11"/>
      <c r="D910" s="30"/>
      <c r="E910" s="30"/>
      <c r="F910" s="30"/>
      <c r="G910" s="30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11"/>
      <c r="C911" s="11"/>
      <c r="D911" s="30"/>
      <c r="E911" s="30"/>
      <c r="F911" s="30"/>
      <c r="G911" s="30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11"/>
      <c r="C912" s="11"/>
      <c r="D912" s="30"/>
      <c r="E912" s="30"/>
      <c r="F912" s="30"/>
      <c r="G912" s="30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11"/>
      <c r="C913" s="11"/>
      <c r="D913" s="30"/>
      <c r="E913" s="30"/>
      <c r="F913" s="30"/>
      <c r="G913" s="30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11"/>
      <c r="C914" s="11"/>
      <c r="D914" s="30"/>
      <c r="E914" s="30"/>
      <c r="F914" s="30"/>
      <c r="G914" s="30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11"/>
      <c r="C915" s="11"/>
      <c r="D915" s="30"/>
      <c r="E915" s="30"/>
      <c r="F915" s="30"/>
      <c r="G915" s="30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11"/>
      <c r="C916" s="11"/>
      <c r="D916" s="30"/>
      <c r="E916" s="30"/>
      <c r="F916" s="30"/>
      <c r="G916" s="30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11"/>
      <c r="C917" s="11"/>
      <c r="D917" s="30"/>
      <c r="E917" s="30"/>
      <c r="F917" s="30"/>
      <c r="G917" s="30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11"/>
      <c r="C918" s="11"/>
      <c r="D918" s="30"/>
      <c r="E918" s="30"/>
      <c r="F918" s="30"/>
      <c r="G918" s="30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11"/>
      <c r="C919" s="11"/>
      <c r="D919" s="30"/>
      <c r="E919" s="30"/>
      <c r="F919" s="30"/>
      <c r="G919" s="30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11"/>
      <c r="C920" s="11"/>
      <c r="D920" s="30"/>
      <c r="E920" s="30"/>
      <c r="F920" s="30"/>
      <c r="G920" s="30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11"/>
      <c r="C921" s="11"/>
      <c r="D921" s="30"/>
      <c r="E921" s="30"/>
      <c r="F921" s="30"/>
      <c r="G921" s="30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11"/>
      <c r="C922" s="11"/>
      <c r="D922" s="30"/>
      <c r="E922" s="30"/>
      <c r="F922" s="30"/>
      <c r="G922" s="30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11"/>
      <c r="C923" s="11"/>
      <c r="D923" s="30"/>
      <c r="E923" s="30"/>
      <c r="F923" s="30"/>
      <c r="G923" s="30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11"/>
      <c r="C924" s="11"/>
      <c r="D924" s="30"/>
      <c r="E924" s="30"/>
      <c r="F924" s="30"/>
      <c r="G924" s="30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11"/>
      <c r="C925" s="11"/>
      <c r="D925" s="30"/>
      <c r="E925" s="30"/>
      <c r="F925" s="30"/>
      <c r="G925" s="30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11"/>
      <c r="C926" s="11"/>
      <c r="D926" s="30"/>
      <c r="E926" s="30"/>
      <c r="F926" s="30"/>
      <c r="G926" s="30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11"/>
      <c r="C927" s="11"/>
      <c r="D927" s="30"/>
      <c r="E927" s="30"/>
      <c r="F927" s="30"/>
      <c r="G927" s="30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11"/>
      <c r="C928" s="11"/>
      <c r="D928" s="30"/>
      <c r="E928" s="30"/>
      <c r="F928" s="30"/>
      <c r="G928" s="30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11"/>
      <c r="C929" s="11"/>
      <c r="D929" s="30"/>
      <c r="E929" s="30"/>
      <c r="F929" s="30"/>
      <c r="G929" s="30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11"/>
      <c r="C930" s="11"/>
      <c r="D930" s="30"/>
      <c r="E930" s="30"/>
      <c r="F930" s="30"/>
      <c r="G930" s="30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11"/>
      <c r="C931" s="11"/>
      <c r="D931" s="30"/>
      <c r="E931" s="30"/>
      <c r="F931" s="30"/>
      <c r="G931" s="30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11"/>
      <c r="C932" s="11"/>
      <c r="D932" s="30"/>
      <c r="E932" s="30"/>
      <c r="F932" s="30"/>
      <c r="G932" s="30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11"/>
      <c r="C933" s="11"/>
      <c r="D933" s="30"/>
      <c r="E933" s="30"/>
      <c r="F933" s="30"/>
      <c r="G933" s="30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11"/>
      <c r="C934" s="11"/>
      <c r="D934" s="30"/>
      <c r="E934" s="30"/>
      <c r="F934" s="30"/>
      <c r="G934" s="30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11"/>
      <c r="C935" s="11"/>
      <c r="D935" s="30"/>
      <c r="E935" s="30"/>
      <c r="F935" s="30"/>
      <c r="G935" s="30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11"/>
      <c r="C936" s="11"/>
      <c r="D936" s="30"/>
      <c r="E936" s="30"/>
      <c r="F936" s="30"/>
      <c r="G936" s="30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11"/>
      <c r="C937" s="11"/>
      <c r="D937" s="30"/>
      <c r="E937" s="30"/>
      <c r="F937" s="30"/>
      <c r="G937" s="30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11"/>
      <c r="C938" s="11"/>
      <c r="D938" s="30"/>
      <c r="E938" s="30"/>
      <c r="F938" s="30"/>
      <c r="G938" s="30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11"/>
      <c r="C939" s="11"/>
      <c r="D939" s="30"/>
      <c r="E939" s="30"/>
      <c r="F939" s="30"/>
      <c r="G939" s="30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11"/>
      <c r="C940" s="11"/>
      <c r="D940" s="30"/>
      <c r="E940" s="30"/>
      <c r="F940" s="30"/>
      <c r="G940" s="30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11"/>
      <c r="C941" s="11"/>
      <c r="D941" s="30"/>
      <c r="E941" s="30"/>
      <c r="F941" s="30"/>
      <c r="G941" s="30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11"/>
      <c r="C942" s="11"/>
      <c r="D942" s="30"/>
      <c r="E942" s="30"/>
      <c r="F942" s="30"/>
      <c r="G942" s="30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11"/>
      <c r="C943" s="11"/>
      <c r="D943" s="30"/>
      <c r="E943" s="30"/>
      <c r="F943" s="30"/>
      <c r="G943" s="30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11"/>
      <c r="C944" s="11"/>
      <c r="D944" s="30"/>
      <c r="E944" s="30"/>
      <c r="F944" s="30"/>
      <c r="G944" s="30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11"/>
      <c r="C945" s="11"/>
      <c r="D945" s="30"/>
      <c r="E945" s="30"/>
      <c r="F945" s="30"/>
      <c r="G945" s="30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11"/>
      <c r="C946" s="11"/>
      <c r="D946" s="30"/>
      <c r="E946" s="30"/>
      <c r="F946" s="30"/>
      <c r="G946" s="30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11"/>
      <c r="C947" s="11"/>
      <c r="D947" s="30"/>
      <c r="E947" s="30"/>
      <c r="F947" s="30"/>
      <c r="G947" s="30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11"/>
      <c r="C948" s="11"/>
      <c r="D948" s="30"/>
      <c r="E948" s="30"/>
      <c r="F948" s="30"/>
      <c r="G948" s="30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11"/>
      <c r="C949" s="11"/>
      <c r="D949" s="30"/>
      <c r="E949" s="30"/>
      <c r="F949" s="30"/>
      <c r="G949" s="30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11"/>
      <c r="C950" s="11"/>
      <c r="D950" s="30"/>
      <c r="E950" s="30"/>
      <c r="F950" s="30"/>
      <c r="G950" s="30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11"/>
      <c r="C951" s="11"/>
      <c r="D951" s="30"/>
      <c r="E951" s="30"/>
      <c r="F951" s="30"/>
      <c r="G951" s="30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11"/>
      <c r="C952" s="11"/>
      <c r="D952" s="30"/>
      <c r="E952" s="30"/>
      <c r="F952" s="30"/>
      <c r="G952" s="30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11"/>
      <c r="C953" s="11"/>
      <c r="D953" s="30"/>
      <c r="E953" s="30"/>
      <c r="F953" s="30"/>
      <c r="G953" s="30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11"/>
      <c r="C954" s="11"/>
      <c r="D954" s="30"/>
      <c r="E954" s="30"/>
      <c r="F954" s="30"/>
      <c r="G954" s="30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11"/>
      <c r="C955" s="11"/>
      <c r="D955" s="30"/>
      <c r="E955" s="30"/>
      <c r="F955" s="30"/>
      <c r="G955" s="30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11"/>
      <c r="C956" s="11"/>
      <c r="D956" s="30"/>
      <c r="E956" s="30"/>
      <c r="F956" s="30"/>
      <c r="G956" s="30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11"/>
      <c r="C957" s="11"/>
      <c r="D957" s="30"/>
      <c r="E957" s="30"/>
      <c r="F957" s="30"/>
      <c r="G957" s="30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11"/>
      <c r="C958" s="11"/>
      <c r="D958" s="30"/>
      <c r="E958" s="30"/>
      <c r="F958" s="30"/>
      <c r="G958" s="30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11"/>
      <c r="C959" s="11"/>
      <c r="D959" s="30"/>
      <c r="E959" s="30"/>
      <c r="F959" s="30"/>
      <c r="G959" s="30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11"/>
      <c r="C960" s="11"/>
      <c r="D960" s="30"/>
      <c r="E960" s="30"/>
      <c r="F960" s="30"/>
      <c r="G960" s="30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11"/>
      <c r="C961" s="11"/>
      <c r="D961" s="30"/>
      <c r="E961" s="30"/>
      <c r="F961" s="30"/>
      <c r="G961" s="30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11"/>
      <c r="C962" s="11"/>
      <c r="D962" s="30"/>
      <c r="E962" s="30"/>
      <c r="F962" s="30"/>
      <c r="G962" s="30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11"/>
      <c r="C963" s="11"/>
      <c r="D963" s="30"/>
      <c r="E963" s="30"/>
      <c r="F963" s="30"/>
      <c r="G963" s="30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11"/>
      <c r="C964" s="11"/>
      <c r="D964" s="30"/>
      <c r="E964" s="30"/>
      <c r="F964" s="30"/>
      <c r="G964" s="30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11"/>
      <c r="C965" s="11"/>
      <c r="D965" s="30"/>
      <c r="E965" s="30"/>
      <c r="F965" s="30"/>
      <c r="G965" s="30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11"/>
      <c r="C966" s="11"/>
      <c r="D966" s="30"/>
      <c r="E966" s="30"/>
      <c r="F966" s="30"/>
      <c r="G966" s="30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11"/>
      <c r="C967" s="11"/>
      <c r="D967" s="30"/>
      <c r="E967" s="30"/>
      <c r="F967" s="30"/>
      <c r="G967" s="30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11"/>
      <c r="C968" s="11"/>
      <c r="D968" s="30"/>
      <c r="E968" s="30"/>
      <c r="F968" s="30"/>
      <c r="G968" s="30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11"/>
      <c r="C969" s="11"/>
      <c r="D969" s="30"/>
      <c r="E969" s="30"/>
      <c r="F969" s="30"/>
      <c r="G969" s="30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11"/>
      <c r="C970" s="11"/>
      <c r="D970" s="30"/>
      <c r="E970" s="30"/>
      <c r="F970" s="30"/>
      <c r="G970" s="30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11"/>
      <c r="C971" s="11"/>
      <c r="D971" s="30"/>
      <c r="E971" s="30"/>
      <c r="F971" s="30"/>
      <c r="G971" s="30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11"/>
      <c r="C972" s="11"/>
      <c r="D972" s="30"/>
      <c r="E972" s="30"/>
      <c r="F972" s="30"/>
      <c r="G972" s="30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11"/>
      <c r="C973" s="11"/>
      <c r="D973" s="30"/>
      <c r="E973" s="30"/>
      <c r="F973" s="30"/>
      <c r="G973" s="30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11"/>
      <c r="C974" s="11"/>
      <c r="D974" s="30"/>
      <c r="E974" s="30"/>
      <c r="F974" s="30"/>
      <c r="G974" s="30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11"/>
      <c r="C975" s="11"/>
      <c r="D975" s="30"/>
      <c r="E975" s="30"/>
      <c r="F975" s="30"/>
      <c r="G975" s="30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11"/>
      <c r="C976" s="11"/>
      <c r="D976" s="30"/>
      <c r="E976" s="30"/>
      <c r="F976" s="30"/>
      <c r="G976" s="30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11"/>
      <c r="C977" s="11"/>
      <c r="D977" s="30"/>
      <c r="E977" s="30"/>
      <c r="F977" s="30"/>
      <c r="G977" s="30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11"/>
      <c r="C978" s="11"/>
      <c r="D978" s="30"/>
      <c r="E978" s="30"/>
      <c r="F978" s="30"/>
      <c r="G978" s="30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11"/>
      <c r="C979" s="11"/>
      <c r="D979" s="30"/>
      <c r="E979" s="30"/>
      <c r="F979" s="30"/>
      <c r="G979" s="30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11"/>
      <c r="C980" s="11"/>
      <c r="D980" s="30"/>
      <c r="E980" s="30"/>
      <c r="F980" s="30"/>
      <c r="G980" s="30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11"/>
      <c r="C981" s="11"/>
      <c r="D981" s="30"/>
      <c r="E981" s="30"/>
      <c r="F981" s="30"/>
      <c r="G981" s="30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11"/>
      <c r="C982" s="11"/>
      <c r="D982" s="30"/>
      <c r="E982" s="30"/>
      <c r="F982" s="30"/>
      <c r="G982" s="30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11"/>
      <c r="C983" s="11"/>
      <c r="D983" s="30"/>
      <c r="E983" s="30"/>
      <c r="F983" s="30"/>
      <c r="G983" s="30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11"/>
      <c r="C984" s="11"/>
      <c r="D984" s="30"/>
      <c r="E984" s="30"/>
      <c r="F984" s="30"/>
      <c r="G984" s="30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11"/>
      <c r="C985" s="11"/>
      <c r="D985" s="30"/>
      <c r="E985" s="30"/>
      <c r="F985" s="30"/>
      <c r="G985" s="30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11"/>
      <c r="C986" s="11"/>
      <c r="D986" s="30"/>
      <c r="E986" s="30"/>
      <c r="F986" s="30"/>
      <c r="G986" s="30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11"/>
      <c r="C987" s="11"/>
      <c r="D987" s="30"/>
      <c r="E987" s="30"/>
      <c r="F987" s="30"/>
      <c r="G987" s="30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11"/>
      <c r="C988" s="11"/>
      <c r="D988" s="30"/>
      <c r="E988" s="30"/>
      <c r="F988" s="30"/>
      <c r="G988" s="30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11"/>
      <c r="C989" s="11"/>
      <c r="D989" s="30"/>
      <c r="E989" s="30"/>
      <c r="F989" s="30"/>
      <c r="G989" s="30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11"/>
      <c r="C990" s="11"/>
      <c r="D990" s="30"/>
      <c r="E990" s="30"/>
      <c r="F990" s="30"/>
      <c r="G990" s="30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11"/>
      <c r="C991" s="11"/>
      <c r="D991" s="30"/>
      <c r="E991" s="30"/>
      <c r="F991" s="30"/>
      <c r="G991" s="30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11"/>
      <c r="C992" s="11"/>
      <c r="D992" s="30"/>
      <c r="E992" s="30"/>
      <c r="F992" s="30"/>
      <c r="G992" s="30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11"/>
      <c r="C993" s="11"/>
      <c r="D993" s="30"/>
      <c r="E993" s="30"/>
      <c r="F993" s="30"/>
      <c r="G993" s="30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11"/>
      <c r="C994" s="11"/>
      <c r="D994" s="30"/>
      <c r="E994" s="30"/>
      <c r="F994" s="30"/>
      <c r="G994" s="30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B995" s="11"/>
      <c r="C995" s="11"/>
      <c r="D995" s="30"/>
      <c r="E995" s="30"/>
      <c r="F995" s="30"/>
      <c r="G995" s="30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B996" s="11"/>
      <c r="C996" s="11"/>
      <c r="D996" s="30"/>
      <c r="E996" s="30"/>
      <c r="F996" s="30"/>
      <c r="G996" s="30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A997" s="3"/>
      <c r="B997" s="11"/>
      <c r="C997" s="11"/>
      <c r="D997" s="30"/>
      <c r="E997" s="30"/>
      <c r="F997" s="30"/>
      <c r="G997" s="30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B998" s="11"/>
      <c r="C998" s="11"/>
      <c r="D998" s="30"/>
      <c r="E998" s="30"/>
      <c r="F998" s="30"/>
      <c r="G998" s="30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B999" s="11"/>
      <c r="C999" s="11"/>
      <c r="D999" s="30"/>
      <c r="E999" s="30"/>
      <c r="F999" s="30"/>
      <c r="G999" s="30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B1000" s="11"/>
      <c r="C1000" s="11"/>
      <c r="D1000" s="30"/>
      <c r="E1000" s="30"/>
      <c r="F1000" s="30"/>
      <c r="G1000" s="30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75" customHeight="1" x14ac:dyDescent="0.2">
      <c r="B1001" s="11"/>
      <c r="C1001" s="11"/>
      <c r="D1001" s="30"/>
      <c r="E1001" s="30"/>
      <c r="F1001" s="30"/>
      <c r="G1001" s="30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9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19">
        <v>41279</v>
      </c>
      <c r="C1" s="19">
        <v>41276</v>
      </c>
      <c r="D1" s="6">
        <v>261241.7</v>
      </c>
      <c r="E1" s="6">
        <v>169.77489600000001</v>
      </c>
      <c r="F1" s="6">
        <v>28657.200000000001</v>
      </c>
      <c r="G1" s="6">
        <v>110.18315800000001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19">
        <v>41286</v>
      </c>
      <c r="C2" s="19">
        <v>41282</v>
      </c>
      <c r="D2" s="6">
        <v>250189.52</v>
      </c>
      <c r="E2" s="6">
        <v>171.96699899999999</v>
      </c>
      <c r="F2" s="6">
        <v>19836.900000000001</v>
      </c>
      <c r="G2" s="6">
        <v>107.104603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19">
        <v>41293</v>
      </c>
      <c r="C3" s="19">
        <v>41289</v>
      </c>
      <c r="D3" s="6">
        <v>317422.09999999998</v>
      </c>
      <c r="E3" s="6">
        <v>167.93346299999999</v>
      </c>
      <c r="F3" s="6">
        <v>35541.5</v>
      </c>
      <c r="G3" s="6">
        <v>109.012807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19">
        <v>41300</v>
      </c>
      <c r="C4" s="19">
        <v>41296</v>
      </c>
      <c r="D4" s="6">
        <v>172268.1</v>
      </c>
      <c r="E4" s="6">
        <v>168.86059700000001</v>
      </c>
      <c r="F4" s="6">
        <v>30338.9</v>
      </c>
      <c r="G4" s="6">
        <v>106.883413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19">
        <v>41307</v>
      </c>
      <c r="C5" s="19">
        <v>41303</v>
      </c>
      <c r="D5" s="6">
        <v>176009.60000000001</v>
      </c>
      <c r="E5" s="6">
        <v>169.828407</v>
      </c>
      <c r="F5" s="6">
        <v>48409.3</v>
      </c>
      <c r="G5" s="6">
        <v>109.394023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19">
        <v>41314</v>
      </c>
      <c r="C6" s="19">
        <v>41310</v>
      </c>
      <c r="D6" s="6">
        <v>120224.8</v>
      </c>
      <c r="E6" s="6">
        <v>145.51625899999999</v>
      </c>
      <c r="F6" s="6">
        <v>37320.199999999997</v>
      </c>
      <c r="G6" s="6">
        <v>107.559112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19">
        <v>41321</v>
      </c>
      <c r="C7" s="19">
        <v>41317</v>
      </c>
      <c r="D7" s="6">
        <v>102742.2</v>
      </c>
      <c r="E7" s="6">
        <v>150.65521000000001</v>
      </c>
      <c r="F7" s="6">
        <v>34394.5</v>
      </c>
      <c r="G7" s="6">
        <v>103.752876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19">
        <v>41328</v>
      </c>
      <c r="C8" s="19">
        <v>41324</v>
      </c>
      <c r="D8" s="6">
        <v>62816.3</v>
      </c>
      <c r="E8" s="6">
        <v>150.720157</v>
      </c>
      <c r="F8" s="6">
        <v>24598.799999999999</v>
      </c>
      <c r="G8" s="6">
        <v>99.085248000000007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19">
        <v>41335</v>
      </c>
      <c r="C9" s="19">
        <v>41331</v>
      </c>
      <c r="D9" s="6">
        <v>149651.79999999999</v>
      </c>
      <c r="E9" s="6">
        <v>192.99996100000001</v>
      </c>
      <c r="F9" s="6">
        <v>12870.4</v>
      </c>
      <c r="G9" s="6">
        <v>101.587176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19">
        <v>41342</v>
      </c>
      <c r="C10" s="19">
        <v>41338</v>
      </c>
      <c r="D10" s="6">
        <v>0</v>
      </c>
      <c r="E10" s="6">
        <v>0</v>
      </c>
      <c r="F10" s="6">
        <v>950.4</v>
      </c>
      <c r="G10" s="6">
        <v>60.418981000000002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19">
        <v>41349</v>
      </c>
      <c r="C11" s="16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19">
        <v>41356</v>
      </c>
      <c r="C12" s="19">
        <v>41352</v>
      </c>
      <c r="D12" s="6">
        <v>73580.56</v>
      </c>
      <c r="E12" s="6">
        <v>141.49472</v>
      </c>
      <c r="F12" s="6">
        <v>395.2</v>
      </c>
      <c r="G12" s="6">
        <v>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19">
        <v>41363</v>
      </c>
      <c r="C13" s="19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19">
        <v>41370</v>
      </c>
      <c r="C14" s="19">
        <v>41366</v>
      </c>
      <c r="D14" s="6">
        <v>22340.3</v>
      </c>
      <c r="E14" s="6">
        <v>148.132755</v>
      </c>
      <c r="F14" s="6">
        <v>0</v>
      </c>
      <c r="G14" s="6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19">
        <v>41377</v>
      </c>
      <c r="C15" s="19">
        <v>41373</v>
      </c>
      <c r="D15" s="6">
        <v>32181.9</v>
      </c>
      <c r="E15" s="6">
        <v>127.206883</v>
      </c>
      <c r="F15" s="6">
        <v>0</v>
      </c>
      <c r="G15" s="6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19">
        <v>41384</v>
      </c>
      <c r="C16" s="19">
        <v>41380</v>
      </c>
      <c r="D16" s="8">
        <v>35897.199999999997</v>
      </c>
      <c r="E16" s="8">
        <v>181.98674500000001</v>
      </c>
      <c r="F16" s="9">
        <v>277.60000000000002</v>
      </c>
      <c r="G16" s="9">
        <v>131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19">
        <v>41391</v>
      </c>
      <c r="C17" s="20">
        <v>41387</v>
      </c>
      <c r="D17" s="10">
        <v>105247.2</v>
      </c>
      <c r="E17" s="10">
        <v>207.154628</v>
      </c>
      <c r="F17" s="10">
        <v>4098.3</v>
      </c>
      <c r="G17" s="10">
        <v>128.744845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19">
        <v>41398</v>
      </c>
      <c r="C18" s="20">
        <v>41394</v>
      </c>
      <c r="D18" s="10">
        <v>140121.26</v>
      </c>
      <c r="E18" s="10">
        <v>224.32091399999999</v>
      </c>
      <c r="F18" s="10">
        <v>5438.3</v>
      </c>
      <c r="G18" s="10">
        <v>128.87479500000001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19">
        <v>41405</v>
      </c>
      <c r="C19" s="19">
        <v>41401</v>
      </c>
      <c r="D19" s="10">
        <v>274711</v>
      </c>
      <c r="E19" s="10">
        <v>226.92842300000001</v>
      </c>
      <c r="F19" s="10">
        <v>9894</v>
      </c>
      <c r="G19" s="10">
        <v>115.078653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19">
        <v>41412</v>
      </c>
      <c r="C20" s="19">
        <v>41408</v>
      </c>
      <c r="D20" s="10">
        <v>388887.5</v>
      </c>
      <c r="E20" s="10">
        <v>216.66170299999999</v>
      </c>
      <c r="F20" s="10">
        <v>21901.599999999999</v>
      </c>
      <c r="G20" s="10">
        <v>121.833792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19">
        <v>41419</v>
      </c>
      <c r="C21" s="19">
        <v>41415</v>
      </c>
      <c r="D21" s="10">
        <v>377755.38</v>
      </c>
      <c r="E21" s="10">
        <v>228.581436</v>
      </c>
      <c r="F21" s="10">
        <v>18165.7</v>
      </c>
      <c r="G21" s="10">
        <v>114.784616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19">
        <v>41426</v>
      </c>
      <c r="C22" s="19">
        <v>41422</v>
      </c>
      <c r="D22" s="6">
        <v>496169.55</v>
      </c>
      <c r="E22" s="6">
        <v>211.82120800000001</v>
      </c>
      <c r="F22" s="6">
        <v>28959.599999999999</v>
      </c>
      <c r="G22" s="6">
        <v>116.61024999999999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19">
        <v>41433</v>
      </c>
      <c r="C23" s="19">
        <v>41429</v>
      </c>
      <c r="D23" s="6">
        <v>335049.7</v>
      </c>
      <c r="E23" s="6">
        <v>210.88201599999999</v>
      </c>
      <c r="F23" s="6">
        <v>24327.200000000001</v>
      </c>
      <c r="G23" s="6">
        <v>115.05440400000001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19">
        <v>41440</v>
      </c>
      <c r="C24" s="19">
        <v>41436</v>
      </c>
      <c r="D24" s="6">
        <v>462747.3</v>
      </c>
      <c r="E24" s="6">
        <v>221.65489299999999</v>
      </c>
      <c r="F24" s="6">
        <v>31270</v>
      </c>
      <c r="G24" s="6">
        <v>113.72659400000001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19">
        <v>41447</v>
      </c>
      <c r="C25" s="19">
        <v>41443</v>
      </c>
      <c r="D25" s="6">
        <v>492346.7</v>
      </c>
      <c r="E25" s="6">
        <v>241.40853999999999</v>
      </c>
      <c r="F25" s="6">
        <v>48435.3</v>
      </c>
      <c r="G25" s="6">
        <v>112.566731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19">
        <v>41454</v>
      </c>
      <c r="C26" s="19">
        <v>41450</v>
      </c>
      <c r="D26" s="6">
        <v>555400.4</v>
      </c>
      <c r="E26" s="6">
        <v>255.630233</v>
      </c>
      <c r="F26" s="6">
        <v>49381.7</v>
      </c>
      <c r="G26" s="6">
        <v>113.851246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19">
        <v>41461</v>
      </c>
      <c r="C27" s="19">
        <v>41457</v>
      </c>
      <c r="D27" s="6">
        <v>596870.85</v>
      </c>
      <c r="E27" s="6">
        <v>257.95628099999999</v>
      </c>
      <c r="F27" s="6">
        <v>38514.33</v>
      </c>
      <c r="G27" s="6">
        <v>120.671302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19">
        <v>41468</v>
      </c>
      <c r="C28" s="19">
        <v>41464</v>
      </c>
      <c r="D28" s="6">
        <v>562520.94999999995</v>
      </c>
      <c r="E28" s="6">
        <v>253.81964300000001</v>
      </c>
      <c r="F28" s="6">
        <v>33738.050000000003</v>
      </c>
      <c r="G28" s="6">
        <v>121.41868100000001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19">
        <v>41475</v>
      </c>
      <c r="C29" s="19">
        <v>41471</v>
      </c>
      <c r="D29" s="6">
        <v>570236.43999999994</v>
      </c>
      <c r="E29" s="6">
        <v>237.45011400000001</v>
      </c>
      <c r="F29" s="6">
        <v>42166.7</v>
      </c>
      <c r="G29" s="6">
        <v>117.809815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19">
        <v>41482</v>
      </c>
      <c r="C30" s="19">
        <v>41478</v>
      </c>
      <c r="D30" s="6">
        <v>675801.7</v>
      </c>
      <c r="E30" s="6">
        <v>225.135684</v>
      </c>
      <c r="F30" s="6">
        <v>60383.1</v>
      </c>
      <c r="G30" s="6">
        <v>100.343054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19">
        <v>41489</v>
      </c>
      <c r="C31" s="19">
        <v>41485</v>
      </c>
      <c r="D31" s="6">
        <v>777950.65</v>
      </c>
      <c r="E31" s="6">
        <v>221.37685400000001</v>
      </c>
      <c r="F31" s="6">
        <v>72477.8</v>
      </c>
      <c r="G31" s="6">
        <v>101.36295800000001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19">
        <v>41496</v>
      </c>
      <c r="C32" s="19">
        <v>41492</v>
      </c>
      <c r="D32" s="6">
        <v>728995.6</v>
      </c>
      <c r="E32" s="6">
        <v>221.145399</v>
      </c>
      <c r="F32" s="6">
        <v>48092.55</v>
      </c>
      <c r="G32" s="6">
        <v>99.762244999999993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19">
        <v>41503</v>
      </c>
      <c r="C33" s="19">
        <v>41499</v>
      </c>
      <c r="D33" s="6">
        <v>733334.05</v>
      </c>
      <c r="E33" s="6">
        <v>224.02789100000001</v>
      </c>
      <c r="F33" s="6">
        <v>58654</v>
      </c>
      <c r="G33" s="6">
        <v>103.99831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19">
        <v>41510</v>
      </c>
      <c r="C34" s="19">
        <v>41506</v>
      </c>
      <c r="D34" s="6">
        <v>647124.19999999995</v>
      </c>
      <c r="E34" s="6">
        <v>226.272761</v>
      </c>
      <c r="F34" s="6">
        <v>47776.65</v>
      </c>
      <c r="G34" s="6">
        <v>101.853005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19">
        <v>41517</v>
      </c>
      <c r="C35" s="19">
        <v>41513</v>
      </c>
      <c r="D35" s="6">
        <v>725458.7</v>
      </c>
      <c r="E35" s="6">
        <v>227.68291600000001</v>
      </c>
      <c r="F35" s="6">
        <v>54111.75</v>
      </c>
      <c r="G35" s="6">
        <v>101.925843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19">
        <v>41524</v>
      </c>
      <c r="C36" s="19">
        <v>41520</v>
      </c>
      <c r="D36" s="6">
        <v>784619.05</v>
      </c>
      <c r="E36" s="6">
        <v>216.84736699999999</v>
      </c>
      <c r="F36" s="6">
        <v>65779.899999999994</v>
      </c>
      <c r="G36" s="6">
        <v>98.797996999999995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19">
        <v>41531</v>
      </c>
      <c r="C37" s="19">
        <v>41527</v>
      </c>
      <c r="D37" s="6">
        <v>644166.05000000005</v>
      </c>
      <c r="E37" s="6">
        <v>225.61103199999999</v>
      </c>
      <c r="F37" s="6">
        <v>47866.2</v>
      </c>
      <c r="G37" s="6">
        <v>105.66545000000001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19">
        <v>41538</v>
      </c>
      <c r="C38" s="19">
        <v>41534</v>
      </c>
      <c r="D38" s="6">
        <v>689955.9</v>
      </c>
      <c r="E38" s="6">
        <v>212.65008599999999</v>
      </c>
      <c r="F38" s="6">
        <v>56727.15</v>
      </c>
      <c r="G38" s="6">
        <v>101.497559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19">
        <v>41545</v>
      </c>
      <c r="C39" s="19">
        <v>41541</v>
      </c>
      <c r="D39" s="6">
        <v>666793.34</v>
      </c>
      <c r="E39" s="6">
        <v>205.47881699999999</v>
      </c>
      <c r="F39" s="6">
        <v>59729.55</v>
      </c>
      <c r="G39" s="6">
        <v>104.130627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19">
        <v>41552</v>
      </c>
      <c r="C40" s="19">
        <v>41547</v>
      </c>
      <c r="D40" s="6">
        <v>566279.35</v>
      </c>
      <c r="E40" s="6">
        <v>205.74073999999999</v>
      </c>
      <c r="F40" s="6">
        <v>30338.400000000001</v>
      </c>
      <c r="G40" s="6">
        <v>94.955866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19">
        <v>41559</v>
      </c>
      <c r="C41" s="19">
        <v>41555</v>
      </c>
      <c r="D41" s="6">
        <v>563081.87</v>
      </c>
      <c r="E41" s="6">
        <v>205.95217700000001</v>
      </c>
      <c r="F41" s="6">
        <v>38529.65</v>
      </c>
      <c r="G41" s="6">
        <v>95.821893000000003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19">
        <v>41566</v>
      </c>
      <c r="C42" s="19"/>
      <c r="D42" s="6">
        <v>0</v>
      </c>
      <c r="E42" s="6">
        <v>0</v>
      </c>
      <c r="F42" s="6">
        <v>0</v>
      </c>
      <c r="G42" s="6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19">
        <v>41573</v>
      </c>
      <c r="C43" s="19">
        <v>41569</v>
      </c>
      <c r="D43" s="6">
        <v>741743.82</v>
      </c>
      <c r="E43" s="6">
        <v>197.50017700000001</v>
      </c>
      <c r="F43" s="6">
        <v>61594.15</v>
      </c>
      <c r="G43" s="6">
        <v>93.200622999999993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19">
        <v>41580</v>
      </c>
      <c r="C44" s="19">
        <v>41576</v>
      </c>
      <c r="D44" s="6">
        <v>591116.65</v>
      </c>
      <c r="E44" s="6">
        <v>194.74094400000001</v>
      </c>
      <c r="F44" s="6">
        <v>83491.199999999997</v>
      </c>
      <c r="G44" s="6">
        <v>95.134826000000004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19">
        <v>41587</v>
      </c>
      <c r="C45" s="19">
        <v>41583</v>
      </c>
      <c r="D45" s="8">
        <v>763797.85</v>
      </c>
      <c r="E45" s="8">
        <v>182.175735</v>
      </c>
      <c r="F45" s="8">
        <v>68799.5</v>
      </c>
      <c r="G45" s="8">
        <v>90.242485000000002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19">
        <v>41594</v>
      </c>
      <c r="C46" s="19">
        <v>41590</v>
      </c>
      <c r="D46" s="6">
        <v>787163.6</v>
      </c>
      <c r="E46" s="6">
        <v>182.06344899999999</v>
      </c>
      <c r="F46" s="6">
        <v>44814.65</v>
      </c>
      <c r="G46" s="6">
        <v>92.866968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19">
        <v>41601</v>
      </c>
      <c r="C47" s="19">
        <v>41597</v>
      </c>
      <c r="D47" s="6">
        <v>803831.05</v>
      </c>
      <c r="E47" s="6">
        <v>177.28327200000001</v>
      </c>
      <c r="F47" s="6">
        <v>61606.45</v>
      </c>
      <c r="G47" s="6">
        <v>83.624521000000001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19">
        <v>41608</v>
      </c>
      <c r="C48" s="19">
        <v>41604</v>
      </c>
      <c r="D48" s="6">
        <v>515833.35</v>
      </c>
      <c r="E48" s="6">
        <v>183.74718799999999</v>
      </c>
      <c r="F48" s="6">
        <v>60985.8</v>
      </c>
      <c r="G48" s="6">
        <v>89.670086999999995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19">
        <v>41615</v>
      </c>
      <c r="C49" s="19">
        <v>41611</v>
      </c>
      <c r="D49" s="6">
        <v>750778.25</v>
      </c>
      <c r="E49" s="6">
        <v>172.82994500000001</v>
      </c>
      <c r="F49" s="6">
        <v>50100.15</v>
      </c>
      <c r="G49" s="6">
        <v>84.545494000000005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19">
        <v>41622</v>
      </c>
      <c r="C50" s="19">
        <v>41618</v>
      </c>
      <c r="D50" s="6">
        <v>766385.35</v>
      </c>
      <c r="E50" s="6">
        <v>164.94332199999999</v>
      </c>
      <c r="F50" s="6">
        <v>45389.55</v>
      </c>
      <c r="G50" s="6">
        <v>77.219727000000006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19">
        <v>41629</v>
      </c>
      <c r="C51" s="19">
        <v>41625</v>
      </c>
      <c r="D51" s="6">
        <v>556379.85</v>
      </c>
      <c r="E51" s="6">
        <v>163.31461100000001</v>
      </c>
      <c r="F51" s="6">
        <v>58002</v>
      </c>
      <c r="G51" s="6">
        <v>79.549323000000001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19">
        <v>41636</v>
      </c>
      <c r="C52" s="19">
        <v>41632</v>
      </c>
      <c r="D52" s="6">
        <v>610661</v>
      </c>
      <c r="E52" s="6">
        <v>153.58292599999999</v>
      </c>
      <c r="F52" s="6">
        <v>62330.75</v>
      </c>
      <c r="G52" s="6">
        <v>86.196540999999996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19">
        <v>41643</v>
      </c>
      <c r="C53" s="16"/>
      <c r="D53" s="6">
        <v>0</v>
      </c>
      <c r="E53" s="6">
        <v>0</v>
      </c>
      <c r="F53" s="6">
        <v>0</v>
      </c>
      <c r="G53" s="6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B995" s="3"/>
      <c r="C995" s="3"/>
      <c r="D995" s="8"/>
      <c r="E995" s="8"/>
      <c r="F995" s="8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19">
        <v>41643</v>
      </c>
      <c r="C1" s="19">
        <v>41640</v>
      </c>
      <c r="D1" s="6">
        <v>412114.8</v>
      </c>
      <c r="E1" s="6">
        <v>141.71807200000001</v>
      </c>
      <c r="F1" s="6">
        <v>58152.85</v>
      </c>
      <c r="G1" s="6">
        <v>87.756979999999999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19">
        <v>41650</v>
      </c>
      <c r="C2" s="19">
        <v>41646</v>
      </c>
      <c r="D2" s="6">
        <v>403513.1</v>
      </c>
      <c r="E2" s="6">
        <v>133.78424699999999</v>
      </c>
      <c r="F2" s="6">
        <v>47379.15</v>
      </c>
      <c r="G2" s="6">
        <v>90.947475999999995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19">
        <v>41657</v>
      </c>
      <c r="C3" s="19">
        <v>41653</v>
      </c>
      <c r="D3" s="6">
        <v>394018.04</v>
      </c>
      <c r="E3" s="6">
        <v>135.71713800000001</v>
      </c>
      <c r="F3" s="6">
        <v>74467</v>
      </c>
      <c r="G3" s="6">
        <v>81.269578999999993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19">
        <v>41664</v>
      </c>
      <c r="C4" s="19">
        <v>41660</v>
      </c>
      <c r="D4" s="6">
        <v>364841.3</v>
      </c>
      <c r="E4" s="6">
        <v>122.922256</v>
      </c>
      <c r="F4" s="6">
        <v>43031.25</v>
      </c>
      <c r="G4" s="6">
        <v>73.014021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19">
        <v>41671</v>
      </c>
      <c r="C5" s="19">
        <v>41667</v>
      </c>
      <c r="D5" s="6">
        <v>372612.6</v>
      </c>
      <c r="E5" s="6">
        <v>116.92671799999999</v>
      </c>
      <c r="F5" s="6">
        <v>34448</v>
      </c>
      <c r="G5" s="6">
        <v>87.102326000000005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19">
        <v>41678</v>
      </c>
      <c r="C6" s="19">
        <v>41675</v>
      </c>
      <c r="D6" s="6">
        <v>281591.40000000002</v>
      </c>
      <c r="E6" s="6">
        <v>133.87098599999999</v>
      </c>
      <c r="F6" s="6">
        <v>29054.7</v>
      </c>
      <c r="G6" s="6">
        <v>78.852288000000001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19">
        <v>41685</v>
      </c>
      <c r="C7" s="19">
        <v>41681</v>
      </c>
      <c r="D7" s="6">
        <v>116381.15</v>
      </c>
      <c r="E7" s="6">
        <v>120.528159</v>
      </c>
      <c r="F7" s="6">
        <v>17940.900000000001</v>
      </c>
      <c r="G7" s="6">
        <v>91.477031999999994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19">
        <v>41692</v>
      </c>
      <c r="C8" s="19">
        <v>41688</v>
      </c>
      <c r="D8" s="6">
        <v>106850.61</v>
      </c>
      <c r="E8" s="6">
        <v>114.094285</v>
      </c>
      <c r="F8" s="6">
        <v>6690.35</v>
      </c>
      <c r="G8" s="6">
        <v>65.929704000000001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19">
        <v>41699</v>
      </c>
      <c r="C9" s="19"/>
      <c r="D9" s="6">
        <v>0</v>
      </c>
      <c r="E9" s="6">
        <v>0</v>
      </c>
      <c r="F9" s="6">
        <v>0</v>
      </c>
      <c r="G9" s="6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19">
        <v>41706</v>
      </c>
      <c r="C10" s="19">
        <v>41702</v>
      </c>
      <c r="D10" s="6">
        <v>153254.39999999999</v>
      </c>
      <c r="E10" s="6">
        <v>124.229921</v>
      </c>
      <c r="F10" s="6">
        <v>13900.95</v>
      </c>
      <c r="G10" s="6">
        <v>87.945676000000006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19">
        <v>41713</v>
      </c>
      <c r="C11" s="16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19">
        <v>41720</v>
      </c>
      <c r="C12" s="19"/>
      <c r="D12" s="6">
        <v>0</v>
      </c>
      <c r="E12" s="6">
        <v>0</v>
      </c>
      <c r="F12" s="6">
        <v>0</v>
      </c>
      <c r="G12" s="6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19">
        <v>41727</v>
      </c>
      <c r="C13" s="19">
        <v>41723</v>
      </c>
      <c r="D13" s="6">
        <v>144752.1</v>
      </c>
      <c r="E13" s="6">
        <v>147.71332899999999</v>
      </c>
      <c r="F13" s="6">
        <v>9897.0499999999993</v>
      </c>
      <c r="G13" s="6">
        <v>76.803799999999995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19">
        <v>41734</v>
      </c>
      <c r="C14" s="19">
        <v>41731</v>
      </c>
      <c r="D14" s="6">
        <v>38549</v>
      </c>
      <c r="E14" s="6">
        <v>165.655192</v>
      </c>
      <c r="F14" s="6">
        <v>1350</v>
      </c>
      <c r="G14" s="6">
        <v>72.666666000000006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19">
        <v>41741</v>
      </c>
      <c r="C15" s="19">
        <v>41738</v>
      </c>
      <c r="D15" s="6">
        <v>5750.45</v>
      </c>
      <c r="E15" s="6">
        <v>172.43036599999999</v>
      </c>
      <c r="F15" s="6">
        <v>452.35</v>
      </c>
      <c r="G15" s="6">
        <v>120.806676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19">
        <v>41748</v>
      </c>
      <c r="C16" s="19">
        <v>41746</v>
      </c>
      <c r="D16" s="8">
        <v>50902.3</v>
      </c>
      <c r="E16" s="8">
        <v>187.40105700000001</v>
      </c>
      <c r="F16" s="9">
        <v>626.79999999999995</v>
      </c>
      <c r="G16" s="9">
        <v>109.55887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19">
        <v>41755</v>
      </c>
      <c r="C17" s="19">
        <v>41751</v>
      </c>
      <c r="D17" s="10">
        <v>82420.67</v>
      </c>
      <c r="E17" s="10">
        <v>208.52648300000001</v>
      </c>
      <c r="F17" s="10">
        <v>4840.7</v>
      </c>
      <c r="G17" s="10">
        <v>120.032887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19">
        <v>41762</v>
      </c>
      <c r="C18" s="19">
        <v>41758</v>
      </c>
      <c r="D18" s="10">
        <v>155156.6</v>
      </c>
      <c r="E18" s="10">
        <v>214.22410199999999</v>
      </c>
      <c r="F18" s="10">
        <v>9749.35</v>
      </c>
      <c r="G18" s="10">
        <v>109.553308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19">
        <v>41769</v>
      </c>
      <c r="C19" s="19">
        <v>41765</v>
      </c>
      <c r="D19" s="10">
        <v>233877.85</v>
      </c>
      <c r="E19" s="10">
        <v>200.04406</v>
      </c>
      <c r="F19" s="10">
        <v>21880.1</v>
      </c>
      <c r="G19" s="10">
        <v>126.519369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19">
        <v>41776</v>
      </c>
      <c r="C20" s="19">
        <v>41773</v>
      </c>
      <c r="D20" s="10">
        <v>274764.18</v>
      </c>
      <c r="E20" s="10">
        <v>184.55852400000001</v>
      </c>
      <c r="F20" s="10">
        <v>22604.65</v>
      </c>
      <c r="G20" s="10">
        <v>126.903307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19">
        <v>41783</v>
      </c>
      <c r="C21" s="19">
        <v>41779</v>
      </c>
      <c r="D21" s="10">
        <v>200970.5</v>
      </c>
      <c r="E21" s="10">
        <v>176.82672400000001</v>
      </c>
      <c r="F21" s="10">
        <v>20362.75</v>
      </c>
      <c r="G21" s="10">
        <v>129.50864899999999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19">
        <v>41790</v>
      </c>
      <c r="C22" s="19">
        <v>41786</v>
      </c>
      <c r="D22" s="6">
        <v>262699.98</v>
      </c>
      <c r="E22" s="6">
        <v>172.85859300000001</v>
      </c>
      <c r="F22" s="6">
        <v>29514.65</v>
      </c>
      <c r="G22" s="6">
        <v>131.80020400000001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19">
        <v>41797</v>
      </c>
      <c r="C23" s="19">
        <v>41793</v>
      </c>
      <c r="D23" s="6">
        <v>243694.3</v>
      </c>
      <c r="E23" s="6">
        <v>166.53</v>
      </c>
      <c r="F23" s="6">
        <v>23892.65</v>
      </c>
      <c r="G23" s="6">
        <v>134.54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19">
        <v>41804</v>
      </c>
      <c r="C24" s="19">
        <v>41800</v>
      </c>
      <c r="D24" s="6">
        <v>220809.8</v>
      </c>
      <c r="E24" s="6">
        <v>179.19</v>
      </c>
      <c r="F24" s="6">
        <v>16563</v>
      </c>
      <c r="G24" s="6">
        <v>145.29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19">
        <v>41811</v>
      </c>
      <c r="C25" s="19">
        <v>41807</v>
      </c>
      <c r="D25" s="6">
        <v>294361.65999999997</v>
      </c>
      <c r="E25" s="6">
        <v>184.35289599999999</v>
      </c>
      <c r="F25" s="6">
        <v>14370.85</v>
      </c>
      <c r="G25" s="6">
        <v>148.112255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19">
        <v>41818</v>
      </c>
      <c r="C26" s="19">
        <v>41814</v>
      </c>
      <c r="D26" s="6">
        <v>382112.7</v>
      </c>
      <c r="E26" s="6">
        <v>225.42659399999999</v>
      </c>
      <c r="F26" s="6">
        <v>21915.599999999999</v>
      </c>
      <c r="G26" s="6">
        <v>147.17083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19">
        <v>41825</v>
      </c>
      <c r="C27" s="19">
        <v>41821</v>
      </c>
      <c r="D27" s="6">
        <v>549397.25</v>
      </c>
      <c r="E27" s="6">
        <v>251.47609800000001</v>
      </c>
      <c r="F27" s="6">
        <v>35551.5</v>
      </c>
      <c r="G27" s="6">
        <v>150.99024600000001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19">
        <v>41832</v>
      </c>
      <c r="C28" s="19">
        <v>41828</v>
      </c>
      <c r="D28" s="6">
        <v>542028.30000000005</v>
      </c>
      <c r="E28" s="6">
        <v>251.96731</v>
      </c>
      <c r="F28" s="6">
        <v>43951.199999999997</v>
      </c>
      <c r="G28" s="6">
        <v>147.56939700000001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19">
        <v>41839</v>
      </c>
      <c r="C29" s="19">
        <v>41835</v>
      </c>
      <c r="D29" s="6">
        <v>491405.4</v>
      </c>
      <c r="E29" s="6">
        <v>246.05073100000001</v>
      </c>
      <c r="F29" s="6">
        <v>44281.7</v>
      </c>
      <c r="G29" s="6">
        <v>140.42508599999999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19">
        <v>41846</v>
      </c>
      <c r="C30" s="19">
        <v>41842</v>
      </c>
      <c r="D30" s="6">
        <v>579185.44999999995</v>
      </c>
      <c r="E30" s="6">
        <v>233.81071399999999</v>
      </c>
      <c r="F30" s="6">
        <v>47549.85</v>
      </c>
      <c r="G30" s="6">
        <v>140.71912399999999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19">
        <v>41853</v>
      </c>
      <c r="C31" s="19">
        <v>41850</v>
      </c>
      <c r="D31" s="6">
        <v>533010.99</v>
      </c>
      <c r="E31" s="6">
        <v>236.05707000000001</v>
      </c>
      <c r="F31" s="6">
        <v>50896.65</v>
      </c>
      <c r="G31" s="6">
        <v>125.39896899999999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19">
        <v>41860</v>
      </c>
      <c r="C32" s="19">
        <v>41856</v>
      </c>
      <c r="D32" s="6">
        <v>618216.94999999995</v>
      </c>
      <c r="E32" s="6">
        <v>224.73385200000001</v>
      </c>
      <c r="F32" s="6">
        <v>46015.199999999997</v>
      </c>
      <c r="G32" s="6">
        <v>121.813283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19">
        <v>41867</v>
      </c>
      <c r="C33" s="19">
        <v>41863</v>
      </c>
      <c r="D33" s="6">
        <v>446868.05</v>
      </c>
      <c r="E33" s="6">
        <v>226.85511399999999</v>
      </c>
      <c r="F33" s="6">
        <v>37823.85</v>
      </c>
      <c r="G33" s="6">
        <v>124.486396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19">
        <v>41874</v>
      </c>
      <c r="C34" s="19">
        <v>41870</v>
      </c>
      <c r="D34" s="6">
        <v>504997.85</v>
      </c>
      <c r="E34" s="6">
        <v>213.12969000000001</v>
      </c>
      <c r="F34" s="6">
        <v>27020.1</v>
      </c>
      <c r="G34" s="6">
        <v>117.31689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19">
        <v>41881</v>
      </c>
      <c r="C35" s="19">
        <v>41877</v>
      </c>
      <c r="D35" s="6">
        <v>514133.5</v>
      </c>
      <c r="E35" s="6">
        <v>212.12279599999999</v>
      </c>
      <c r="F35" s="6">
        <v>33451.300000000003</v>
      </c>
      <c r="G35" s="6">
        <v>113.445305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19">
        <v>41888</v>
      </c>
      <c r="C36" s="19">
        <v>41884</v>
      </c>
      <c r="D36" s="6">
        <v>542728</v>
      </c>
      <c r="E36" s="6">
        <v>201.377962</v>
      </c>
      <c r="F36" s="6">
        <v>57769.1</v>
      </c>
      <c r="G36" s="6">
        <v>107.289997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19">
        <v>41895</v>
      </c>
      <c r="C37" s="19">
        <v>41891</v>
      </c>
      <c r="D37" s="6">
        <v>532987.55000000005</v>
      </c>
      <c r="E37" s="6">
        <v>201.474965</v>
      </c>
      <c r="F37" s="6">
        <v>35966.800000000003</v>
      </c>
      <c r="G37" s="6">
        <v>105.063607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19">
        <v>41902</v>
      </c>
      <c r="C38" s="19">
        <v>41898</v>
      </c>
      <c r="D38" s="6">
        <v>613359.75</v>
      </c>
      <c r="E38" s="6">
        <v>201.16300799999999</v>
      </c>
      <c r="F38" s="6">
        <v>42225.5</v>
      </c>
      <c r="G38" s="6">
        <v>107.968889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19">
        <v>41909</v>
      </c>
      <c r="C39" s="19">
        <v>41905</v>
      </c>
      <c r="D39" s="6">
        <v>542498.19999999995</v>
      </c>
      <c r="E39" s="6">
        <v>187.27842699999999</v>
      </c>
      <c r="F39" s="6">
        <v>41053.199999999997</v>
      </c>
      <c r="G39" s="6">
        <v>111.57224600000001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19">
        <v>41923</v>
      </c>
      <c r="C40" s="19">
        <v>41920</v>
      </c>
      <c r="D40" s="6">
        <v>592269.75</v>
      </c>
      <c r="E40" s="6">
        <v>181.85398900000001</v>
      </c>
      <c r="F40" s="6">
        <v>38740.5</v>
      </c>
      <c r="G40" s="6">
        <v>107.14134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19">
        <v>41930</v>
      </c>
      <c r="C41" s="19">
        <v>41926</v>
      </c>
      <c r="D41" s="6">
        <v>588005.80000000005</v>
      </c>
      <c r="E41" s="6">
        <v>183.45127500000001</v>
      </c>
      <c r="F41" s="6">
        <v>48197.45</v>
      </c>
      <c r="G41" s="6">
        <v>107.606235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19">
        <v>41937</v>
      </c>
      <c r="C42" s="19">
        <v>41933</v>
      </c>
      <c r="D42" s="6">
        <v>484985.45</v>
      </c>
      <c r="E42" s="6">
        <v>191.29983100000001</v>
      </c>
      <c r="F42" s="6">
        <v>29322.35</v>
      </c>
      <c r="G42" s="6">
        <v>107.004924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19">
        <v>41944</v>
      </c>
      <c r="C43" s="19">
        <v>41940</v>
      </c>
      <c r="D43" s="6">
        <v>504498.48</v>
      </c>
      <c r="E43" s="6">
        <v>183.92364900000001</v>
      </c>
      <c r="F43" s="6">
        <v>50689.2</v>
      </c>
      <c r="G43" s="6">
        <v>102.031874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19">
        <v>41951</v>
      </c>
      <c r="C44" s="19">
        <v>41946</v>
      </c>
      <c r="D44" s="6">
        <v>401864.9</v>
      </c>
      <c r="E44" s="6">
        <v>178.835588</v>
      </c>
      <c r="F44" s="6">
        <v>21441.599999999999</v>
      </c>
      <c r="G44" s="6">
        <v>91.722802000000001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19">
        <v>41958</v>
      </c>
      <c r="C45" s="19">
        <v>41954</v>
      </c>
      <c r="D45" s="6">
        <v>541389.94999999995</v>
      </c>
      <c r="E45" s="6">
        <v>187.29772399999999</v>
      </c>
      <c r="F45" s="6">
        <v>33798.85</v>
      </c>
      <c r="G45" s="6">
        <v>94.259642999999997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19">
        <v>41965</v>
      </c>
      <c r="C46" s="19">
        <v>41961</v>
      </c>
      <c r="D46" s="6">
        <v>801149.3</v>
      </c>
      <c r="E46" s="6">
        <v>189.247288</v>
      </c>
      <c r="F46" s="6">
        <v>35033.65</v>
      </c>
      <c r="G46" s="6">
        <v>98.568889999999996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19">
        <v>41972</v>
      </c>
      <c r="C47" s="19">
        <v>41968</v>
      </c>
      <c r="D47" s="6">
        <v>449329.7</v>
      </c>
      <c r="E47" s="6">
        <v>176.621407</v>
      </c>
      <c r="F47" s="6">
        <v>72836.149999999994</v>
      </c>
      <c r="G47" s="6">
        <v>99.671440000000004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19">
        <v>41979</v>
      </c>
      <c r="C48" s="19">
        <v>41975</v>
      </c>
      <c r="D48" s="6">
        <v>574607.94999999995</v>
      </c>
      <c r="E48" s="6">
        <v>176.86377200000001</v>
      </c>
      <c r="F48" s="6">
        <v>45713.3</v>
      </c>
      <c r="G48" s="6">
        <v>103.069861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19">
        <v>41986</v>
      </c>
      <c r="C49" s="19">
        <v>41982</v>
      </c>
      <c r="D49" s="6">
        <v>461350.35</v>
      </c>
      <c r="E49" s="6">
        <v>174.42595800000001</v>
      </c>
      <c r="F49" s="6">
        <v>38075.65</v>
      </c>
      <c r="G49" s="6">
        <v>103.20041000000001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19">
        <v>41993</v>
      </c>
      <c r="C50" s="19">
        <v>41989</v>
      </c>
      <c r="D50" s="6">
        <v>467993.99</v>
      </c>
      <c r="E50" s="6">
        <v>165.64791600000001</v>
      </c>
      <c r="F50" s="6">
        <v>45714.95</v>
      </c>
      <c r="G50" s="6">
        <v>105.385452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19">
        <v>42000</v>
      </c>
      <c r="C51" s="19">
        <v>41995</v>
      </c>
      <c r="D51" s="6">
        <v>346386.4</v>
      </c>
      <c r="E51" s="6">
        <v>170.07634899999999</v>
      </c>
      <c r="F51" s="6">
        <v>54458.5</v>
      </c>
      <c r="G51" s="6">
        <v>111.59143299999999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19">
        <v>42007</v>
      </c>
      <c r="C52" s="19">
        <v>42002</v>
      </c>
      <c r="D52" s="6">
        <v>357872.1</v>
      </c>
      <c r="E52" s="6">
        <v>179.43823499999999</v>
      </c>
      <c r="F52" s="6">
        <v>54792.4</v>
      </c>
      <c r="G52" s="6">
        <v>110.396934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19"/>
      <c r="C53" s="16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B995" s="3"/>
      <c r="C995" s="3"/>
      <c r="D995" s="8"/>
      <c r="E995" s="8"/>
      <c r="F995" s="8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22">
        <v>42014</v>
      </c>
      <c r="C1" s="22">
        <v>42010</v>
      </c>
      <c r="D1" s="6">
        <v>324895.90999999997</v>
      </c>
      <c r="E1" s="6">
        <v>162.88926599999999</v>
      </c>
      <c r="F1" s="6">
        <v>50416.15</v>
      </c>
      <c r="G1" s="6">
        <v>106.27371599999999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2">
        <v>42021</v>
      </c>
      <c r="C2" s="22">
        <v>42017</v>
      </c>
      <c r="D2" s="6">
        <v>177818.8</v>
      </c>
      <c r="E2" s="6">
        <v>153.26405600000001</v>
      </c>
      <c r="F2" s="6">
        <v>31990.5</v>
      </c>
      <c r="G2" s="6">
        <v>109.432737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2">
        <v>42028</v>
      </c>
      <c r="C3" s="22">
        <v>42024</v>
      </c>
      <c r="D3" s="6">
        <v>211711.5</v>
      </c>
      <c r="E3" s="6">
        <v>158.35572199999999</v>
      </c>
      <c r="F3" s="6">
        <v>61864.7</v>
      </c>
      <c r="G3" s="6">
        <v>106.060613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2">
        <v>42035</v>
      </c>
      <c r="C4" s="22">
        <v>42031</v>
      </c>
      <c r="D4" s="6">
        <v>178559.8</v>
      </c>
      <c r="E4" s="6">
        <v>156.45244099999999</v>
      </c>
      <c r="F4" s="6">
        <v>52593.15</v>
      </c>
      <c r="G4" s="6">
        <v>109.076921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2">
        <v>42042</v>
      </c>
      <c r="C5" s="22">
        <v>42038</v>
      </c>
      <c r="D5" s="6">
        <v>86045.65</v>
      </c>
      <c r="E5" s="6">
        <v>151.908942</v>
      </c>
      <c r="F5" s="6">
        <v>42257.7</v>
      </c>
      <c r="G5" s="6">
        <v>113.047123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2">
        <v>42049</v>
      </c>
      <c r="C6" s="22">
        <v>42045</v>
      </c>
      <c r="D6" s="6">
        <v>154264.70000000001</v>
      </c>
      <c r="E6" s="6">
        <v>148.92818700000001</v>
      </c>
      <c r="F6" s="6">
        <v>31163.05</v>
      </c>
      <c r="G6" s="6">
        <v>94.988647999999998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2">
        <v>42056</v>
      </c>
      <c r="C7" s="22">
        <v>42052</v>
      </c>
      <c r="D7" s="6">
        <v>61676.2</v>
      </c>
      <c r="E7" s="6">
        <v>148.980366</v>
      </c>
      <c r="F7" s="6">
        <v>32655.85</v>
      </c>
      <c r="G7" s="6">
        <v>96.537451000000004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2">
        <v>42063</v>
      </c>
      <c r="C8" s="22">
        <v>42059</v>
      </c>
      <c r="D8" s="6">
        <v>0</v>
      </c>
      <c r="E8" s="6">
        <v>0</v>
      </c>
      <c r="F8" s="6">
        <v>37752.400000000001</v>
      </c>
      <c r="G8" s="6">
        <v>89.716774000000001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2">
        <v>42070</v>
      </c>
      <c r="C9" s="22">
        <v>42066</v>
      </c>
      <c r="D9" s="6">
        <v>0</v>
      </c>
      <c r="E9" s="6">
        <v>0</v>
      </c>
      <c r="F9" s="6">
        <v>21846.3</v>
      </c>
      <c r="G9" s="6">
        <v>71.916781999999998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2">
        <v>42077</v>
      </c>
      <c r="C10" s="22">
        <v>42073</v>
      </c>
      <c r="D10" s="6">
        <v>60066.15</v>
      </c>
      <c r="E10" s="6">
        <v>161.28698299999999</v>
      </c>
      <c r="F10" s="6">
        <v>21939.4</v>
      </c>
      <c r="G10" s="6">
        <v>81.200059999999993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2">
        <v>42084</v>
      </c>
      <c r="C11" s="23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2">
        <v>42091</v>
      </c>
      <c r="C12" s="22">
        <v>42087</v>
      </c>
      <c r="D12" s="6">
        <v>0</v>
      </c>
      <c r="E12" s="6">
        <v>0</v>
      </c>
      <c r="F12" s="6">
        <v>12889.85</v>
      </c>
      <c r="G12" s="6">
        <v>69.059224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2">
        <v>42098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2">
        <v>42105</v>
      </c>
      <c r="C14" s="22">
        <v>42101</v>
      </c>
      <c r="D14" s="6">
        <v>12557.4</v>
      </c>
      <c r="E14" s="6">
        <v>139.77839299999999</v>
      </c>
      <c r="F14" s="6">
        <v>0</v>
      </c>
      <c r="G14" s="6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2">
        <v>42112</v>
      </c>
      <c r="C15" s="22">
        <v>42110</v>
      </c>
      <c r="D15" s="6">
        <v>37678.800000000003</v>
      </c>
      <c r="E15" s="6">
        <v>216.48041599999999</v>
      </c>
      <c r="F15" s="6">
        <v>2961.6</v>
      </c>
      <c r="G15" s="6">
        <v>68.129693000000003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2">
        <v>42119</v>
      </c>
      <c r="C16" s="22">
        <v>42115</v>
      </c>
      <c r="D16" s="8">
        <v>94688.9</v>
      </c>
      <c r="E16" s="8">
        <v>224.01845</v>
      </c>
      <c r="F16" s="9">
        <v>4870.55</v>
      </c>
      <c r="G16" s="9">
        <v>134.795669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2">
        <v>42126</v>
      </c>
      <c r="C17" s="22">
        <v>42122</v>
      </c>
      <c r="D17" s="10">
        <v>4544</v>
      </c>
      <c r="E17" s="10">
        <v>125.971214</v>
      </c>
      <c r="F17" s="10">
        <v>98989.8</v>
      </c>
      <c r="G17" s="10">
        <v>216.43384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2">
        <v>42133</v>
      </c>
      <c r="C18" s="22">
        <v>42129</v>
      </c>
      <c r="D18" s="10">
        <v>250674.45</v>
      </c>
      <c r="E18" s="10">
        <v>193.22499999999999</v>
      </c>
      <c r="F18" s="10">
        <v>16793.150000000001</v>
      </c>
      <c r="G18" s="10">
        <v>111.149677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2">
        <v>42140</v>
      </c>
      <c r="C19" s="22">
        <v>42136</v>
      </c>
      <c r="D19" s="10">
        <v>213579.3</v>
      </c>
      <c r="E19" s="10">
        <v>191.59028499999999</v>
      </c>
      <c r="F19" s="10">
        <v>15851.9</v>
      </c>
      <c r="G19" s="10">
        <v>109.231669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2">
        <v>42147</v>
      </c>
      <c r="C20" s="22">
        <v>42143</v>
      </c>
      <c r="D20" s="10">
        <v>180802.7</v>
      </c>
      <c r="E20" s="10">
        <v>185.468996</v>
      </c>
      <c r="F20" s="10">
        <v>17179.400000000001</v>
      </c>
      <c r="G20" s="10">
        <v>114.16922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2">
        <v>42154</v>
      </c>
      <c r="C21" s="22">
        <v>42150</v>
      </c>
      <c r="D21" s="10">
        <v>316672.44</v>
      </c>
      <c r="E21" s="10">
        <v>183.90685500000001</v>
      </c>
      <c r="F21" s="10">
        <v>23423.8</v>
      </c>
      <c r="G21" s="10">
        <v>113.672077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2">
        <v>42161</v>
      </c>
      <c r="C22" s="22">
        <v>42157</v>
      </c>
      <c r="D22" s="6">
        <v>309737.49</v>
      </c>
      <c r="E22" s="6">
        <v>189.317218</v>
      </c>
      <c r="F22" s="6">
        <v>21733.8</v>
      </c>
      <c r="G22" s="6">
        <v>108.97118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2">
        <v>42168</v>
      </c>
      <c r="C23" s="22">
        <v>42164</v>
      </c>
      <c r="D23" s="6">
        <v>423284.9</v>
      </c>
      <c r="E23" s="6">
        <v>210.724772</v>
      </c>
      <c r="F23" s="6">
        <v>23408.15</v>
      </c>
      <c r="G23" s="6">
        <v>109.61432000000001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2">
        <v>42175</v>
      </c>
      <c r="C24" s="22">
        <v>42171</v>
      </c>
      <c r="D24" s="6">
        <v>389790.12</v>
      </c>
      <c r="E24" s="6">
        <v>233.065462</v>
      </c>
      <c r="F24" s="6">
        <v>28649.05</v>
      </c>
      <c r="G24" s="6">
        <v>117.452898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2">
        <v>42182</v>
      </c>
      <c r="C25" s="22">
        <v>42178</v>
      </c>
      <c r="D25" s="6">
        <v>481025.67</v>
      </c>
      <c r="E25" s="6">
        <v>246.43513100000001</v>
      </c>
      <c r="F25" s="6">
        <v>32275.15</v>
      </c>
      <c r="G25" s="6">
        <v>118.552274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2">
        <v>42189</v>
      </c>
      <c r="C26" s="22">
        <v>42185</v>
      </c>
      <c r="D26" s="6">
        <v>397628.4</v>
      </c>
      <c r="E26" s="6">
        <v>255.20438100000001</v>
      </c>
      <c r="F26" s="6">
        <v>38328.6</v>
      </c>
      <c r="G26" s="6">
        <v>120.444383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2">
        <v>42196</v>
      </c>
      <c r="C27" s="22">
        <v>42192</v>
      </c>
      <c r="D27" s="6">
        <v>286856.59999999998</v>
      </c>
      <c r="E27" s="6">
        <v>230.63565500000001</v>
      </c>
      <c r="F27" s="6">
        <v>31994.3</v>
      </c>
      <c r="G27" s="6">
        <v>126.420545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2">
        <v>42203</v>
      </c>
      <c r="C28" s="22">
        <v>42201</v>
      </c>
      <c r="D28" s="6">
        <v>399971.6</v>
      </c>
      <c r="E28" s="6">
        <v>245.78132199999999</v>
      </c>
      <c r="F28" s="6">
        <v>35542.1</v>
      </c>
      <c r="G28" s="6">
        <v>115.406413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2">
        <v>42210</v>
      </c>
      <c r="C29" s="22">
        <v>42208</v>
      </c>
      <c r="D29" s="6">
        <v>372393.46</v>
      </c>
      <c r="E29" s="6">
        <v>260.86432600000001</v>
      </c>
      <c r="F29" s="6">
        <v>28823</v>
      </c>
      <c r="G29" s="6">
        <v>124.727278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2">
        <v>42217</v>
      </c>
      <c r="C30" s="22">
        <v>42213</v>
      </c>
      <c r="D30" s="6">
        <v>401330.45</v>
      </c>
      <c r="E30" s="6">
        <v>253.45621499999999</v>
      </c>
      <c r="F30" s="6">
        <v>32013.25</v>
      </c>
      <c r="G30" s="6">
        <v>121.986463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2">
        <v>42224</v>
      </c>
      <c r="C31" s="22">
        <v>42220</v>
      </c>
      <c r="D31" s="6">
        <v>408988.7</v>
      </c>
      <c r="E31" s="6">
        <v>257.623895</v>
      </c>
      <c r="F31" s="6">
        <v>38387.1</v>
      </c>
      <c r="G31" s="6">
        <v>120.502289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2">
        <v>42231</v>
      </c>
      <c r="C32" s="22">
        <v>42227</v>
      </c>
      <c r="D32" s="6">
        <v>359440.27</v>
      </c>
      <c r="E32" s="6">
        <v>247.56390500000001</v>
      </c>
      <c r="F32" s="6">
        <v>30184.400000000001</v>
      </c>
      <c r="G32" s="6">
        <v>107.41016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2">
        <v>42238</v>
      </c>
      <c r="C33" s="22">
        <v>42234</v>
      </c>
      <c r="D33" s="6">
        <v>416564.5</v>
      </c>
      <c r="E33" s="6">
        <v>254.28309899999999</v>
      </c>
      <c r="F33" s="6">
        <v>40430.400000000001</v>
      </c>
      <c r="G33" s="6">
        <v>121.24458300000001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2">
        <v>42245</v>
      </c>
      <c r="C34" s="22">
        <v>42241</v>
      </c>
      <c r="D34" s="6">
        <v>441824.57</v>
      </c>
      <c r="E34" s="6">
        <v>238.030373</v>
      </c>
      <c r="F34" s="6">
        <v>39472.050000000003</v>
      </c>
      <c r="G34" s="6">
        <v>110.91088999999999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2">
        <v>42252</v>
      </c>
      <c r="C35" s="22">
        <v>42248</v>
      </c>
      <c r="D35" s="6">
        <v>395963.9</v>
      </c>
      <c r="E35" s="6">
        <v>229.04930999999999</v>
      </c>
      <c r="F35" s="6">
        <v>41628.800000000003</v>
      </c>
      <c r="G35" s="6">
        <v>103.473837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2">
        <v>42259</v>
      </c>
      <c r="C36" s="22">
        <v>42255</v>
      </c>
      <c r="D36" s="6">
        <v>428706.67</v>
      </c>
      <c r="E36" s="6">
        <v>224.70053999999999</v>
      </c>
      <c r="F36" s="6">
        <v>42246.5</v>
      </c>
      <c r="G36" s="6">
        <v>109.019109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2">
        <v>42266</v>
      </c>
      <c r="C37" s="22">
        <v>42262</v>
      </c>
      <c r="D37" s="6">
        <v>313507.09999999998</v>
      </c>
      <c r="E37" s="6">
        <v>209.95884599999999</v>
      </c>
      <c r="F37" s="6">
        <v>51576.9</v>
      </c>
      <c r="G37" s="6">
        <v>109.829064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2">
        <v>42273</v>
      </c>
      <c r="C38" s="22">
        <v>42269</v>
      </c>
      <c r="D38" s="6">
        <v>380095.51</v>
      </c>
      <c r="E38" s="6">
        <v>218.11887300000001</v>
      </c>
      <c r="F38" s="6">
        <v>41868.449999999997</v>
      </c>
      <c r="G38" s="6">
        <v>104.975751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2">
        <v>42280</v>
      </c>
      <c r="C39" s="22">
        <v>42276</v>
      </c>
      <c r="D39" s="6">
        <v>315323.3</v>
      </c>
      <c r="E39" s="6">
        <v>218.21053800000001</v>
      </c>
      <c r="F39" s="6">
        <v>34076.400000000001</v>
      </c>
      <c r="G39" s="6">
        <v>97.080805999999995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2">
        <v>42287</v>
      </c>
      <c r="C40" s="22">
        <v>42283</v>
      </c>
      <c r="D40" s="6">
        <v>436573.2</v>
      </c>
      <c r="E40" s="6">
        <v>225.06550999999999</v>
      </c>
      <c r="F40" s="6">
        <v>56694.95</v>
      </c>
      <c r="G40" s="6">
        <v>101.600739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2">
        <v>42294</v>
      </c>
      <c r="C41" s="22">
        <v>42290</v>
      </c>
      <c r="D41" s="6">
        <v>594913</v>
      </c>
      <c r="E41" s="6">
        <v>221.30920499999999</v>
      </c>
      <c r="F41" s="6">
        <v>64493.9</v>
      </c>
      <c r="G41" s="6">
        <v>98.623526999999996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2">
        <v>42301</v>
      </c>
      <c r="C42" s="22"/>
      <c r="D42" s="6">
        <v>0</v>
      </c>
      <c r="E42" s="6">
        <v>0</v>
      </c>
      <c r="F42" s="6">
        <v>0</v>
      </c>
      <c r="G42" s="6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2">
        <v>42308</v>
      </c>
      <c r="C43" s="22">
        <v>42305</v>
      </c>
      <c r="D43" s="6">
        <v>514307.2</v>
      </c>
      <c r="E43" s="6">
        <v>214.12105399999999</v>
      </c>
      <c r="F43" s="6">
        <v>88882.2</v>
      </c>
      <c r="G43" s="6">
        <v>96.400882999999993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2">
        <v>42315</v>
      </c>
      <c r="C44" s="22">
        <v>42311</v>
      </c>
      <c r="D44" s="6">
        <v>473339.5</v>
      </c>
      <c r="E44" s="6">
        <v>212.19608500000001</v>
      </c>
      <c r="F44" s="6">
        <v>54231.5</v>
      </c>
      <c r="G44" s="6">
        <v>91.482409000000004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2">
        <v>42322</v>
      </c>
      <c r="C45" s="22">
        <v>42317</v>
      </c>
      <c r="D45" s="6">
        <v>644420.81000000006</v>
      </c>
      <c r="E45" s="6">
        <v>213.28914399999999</v>
      </c>
      <c r="F45" s="6">
        <v>59823</v>
      </c>
      <c r="G45" s="6">
        <v>89.685383000000002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2">
        <v>42329</v>
      </c>
      <c r="C46" s="22">
        <v>42325</v>
      </c>
      <c r="D46" s="6">
        <v>651431.44999999995</v>
      </c>
      <c r="E46" s="6">
        <v>207.29657599999999</v>
      </c>
      <c r="F46" s="6">
        <v>56573.85</v>
      </c>
      <c r="G46" s="6">
        <v>90.757487999999995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2">
        <v>42336</v>
      </c>
      <c r="C47" s="22">
        <v>42331</v>
      </c>
      <c r="D47" s="6">
        <v>640872.30000000005</v>
      </c>
      <c r="E47" s="6">
        <v>205.8339</v>
      </c>
      <c r="F47" s="6">
        <v>57375.8</v>
      </c>
      <c r="G47" s="6">
        <v>103.355452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2">
        <v>42343</v>
      </c>
      <c r="C48" s="22">
        <v>42339</v>
      </c>
      <c r="D48" s="6">
        <v>565018.25</v>
      </c>
      <c r="E48" s="6">
        <v>209.79650100000001</v>
      </c>
      <c r="F48" s="6">
        <v>79726.3</v>
      </c>
      <c r="G48" s="6">
        <v>101.64662800000001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2">
        <v>42350</v>
      </c>
      <c r="C49" s="22">
        <v>42346</v>
      </c>
      <c r="D49" s="6">
        <v>428669.35</v>
      </c>
      <c r="E49" s="6">
        <v>211.54519400000001</v>
      </c>
      <c r="F49" s="6">
        <v>47468</v>
      </c>
      <c r="G49" s="6">
        <v>114.560069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2">
        <v>42357</v>
      </c>
      <c r="C50" s="22">
        <v>42353</v>
      </c>
      <c r="D50" s="6">
        <v>459526.15</v>
      </c>
      <c r="E50" s="6">
        <v>206.75092799999999</v>
      </c>
      <c r="F50" s="6">
        <v>35082.400000000001</v>
      </c>
      <c r="G50" s="6">
        <v>108.517473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2">
        <v>42364</v>
      </c>
      <c r="C51" s="22">
        <v>42360</v>
      </c>
      <c r="D51" s="6">
        <v>331874.3</v>
      </c>
      <c r="E51" s="6">
        <v>205.925039</v>
      </c>
      <c r="F51" s="6">
        <v>46236.800000000003</v>
      </c>
      <c r="G51" s="6">
        <v>120.883257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2">
        <v>42371</v>
      </c>
      <c r="C52" s="22">
        <v>42367</v>
      </c>
      <c r="D52" s="6">
        <v>291033.59999999998</v>
      </c>
      <c r="E52" s="6">
        <v>187.07131899999999</v>
      </c>
      <c r="F52" s="6">
        <v>38238.199999999997</v>
      </c>
      <c r="G52" s="6">
        <v>113.71474499999999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19"/>
      <c r="C53" s="16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22">
        <v>42378</v>
      </c>
      <c r="C1" s="22">
        <v>42374</v>
      </c>
      <c r="D1" s="6">
        <v>245895.3</v>
      </c>
      <c r="E1" s="6">
        <v>189.53158999999999</v>
      </c>
      <c r="F1" s="6">
        <v>42732.7</v>
      </c>
      <c r="G1" s="6">
        <v>111.960493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2">
        <v>42385</v>
      </c>
      <c r="C2" s="22">
        <v>42381</v>
      </c>
      <c r="D2" s="6">
        <v>158255.20000000001</v>
      </c>
      <c r="E2" s="6">
        <v>173.03719799999999</v>
      </c>
      <c r="F2" s="6">
        <v>37271.9</v>
      </c>
      <c r="G2" s="6">
        <v>100.50485399999999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2">
        <v>42392</v>
      </c>
      <c r="C3" s="22">
        <v>42388</v>
      </c>
      <c r="D3" s="6">
        <v>122229.8</v>
      </c>
      <c r="E3" s="6">
        <v>187.22363200000001</v>
      </c>
      <c r="F3" s="6">
        <v>23886.6</v>
      </c>
      <c r="G3" s="6">
        <v>114.53841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2">
        <v>42399</v>
      </c>
      <c r="C4" s="22">
        <v>42395</v>
      </c>
      <c r="D4" s="6">
        <v>0</v>
      </c>
      <c r="E4" s="6">
        <v>0</v>
      </c>
      <c r="F4" s="6">
        <v>22312.6</v>
      </c>
      <c r="G4" s="6">
        <v>114.816417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2">
        <v>42406</v>
      </c>
      <c r="C5" s="22">
        <v>42402</v>
      </c>
      <c r="D5" s="6">
        <v>183443.45</v>
      </c>
      <c r="E5" s="6">
        <v>173.56010000000001</v>
      </c>
      <c r="F5" s="6">
        <v>22706.6</v>
      </c>
      <c r="G5" s="6">
        <v>103.96155299999999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2">
        <v>42413</v>
      </c>
      <c r="C6" s="22">
        <v>42409</v>
      </c>
      <c r="D6" s="6">
        <v>38519</v>
      </c>
      <c r="E6" s="6">
        <v>135.00960799999999</v>
      </c>
      <c r="F6" s="6">
        <v>3542.8</v>
      </c>
      <c r="G6" s="6">
        <v>89.214744999999994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2">
        <v>42420</v>
      </c>
      <c r="C7" s="22">
        <v>42416</v>
      </c>
      <c r="D7" s="6">
        <v>0</v>
      </c>
      <c r="E7" s="6">
        <v>0</v>
      </c>
      <c r="F7" s="6">
        <v>3037.4</v>
      </c>
      <c r="G7" s="6">
        <v>97.377954000000003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2">
        <v>42427</v>
      </c>
      <c r="C8" s="22">
        <v>42423</v>
      </c>
      <c r="D8" s="6">
        <v>0</v>
      </c>
      <c r="E8" s="6">
        <v>0</v>
      </c>
      <c r="F8" s="6">
        <v>2607.8000000000002</v>
      </c>
      <c r="G8" s="6">
        <v>68.824602999999996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2">
        <v>42434</v>
      </c>
      <c r="C9" s="22"/>
      <c r="D9" s="6">
        <v>0</v>
      </c>
      <c r="E9" s="6">
        <v>0</v>
      </c>
      <c r="F9" s="6">
        <v>0</v>
      </c>
      <c r="G9" s="6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2">
        <v>42441</v>
      </c>
      <c r="C10" s="22"/>
      <c r="D10" s="6">
        <v>0</v>
      </c>
      <c r="E10" s="6">
        <v>0</v>
      </c>
      <c r="F10" s="6">
        <v>0</v>
      </c>
      <c r="G10" s="6"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2">
        <v>42448</v>
      </c>
      <c r="C11" s="22">
        <v>42444</v>
      </c>
      <c r="D11" s="6">
        <v>51453.48</v>
      </c>
      <c r="E11" s="6">
        <v>170.18942100000001</v>
      </c>
      <c r="F11" s="6">
        <v>269.8</v>
      </c>
      <c r="G11" s="6">
        <v>130.45366899999999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2">
        <v>42455</v>
      </c>
      <c r="C12" s="22"/>
      <c r="D12" s="6">
        <v>0</v>
      </c>
      <c r="E12" s="6">
        <v>0</v>
      </c>
      <c r="F12" s="6">
        <v>0</v>
      </c>
      <c r="G12" s="6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2">
        <v>42462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2">
        <v>42469</v>
      </c>
      <c r="C14" s="22">
        <v>42465</v>
      </c>
      <c r="D14" s="6">
        <v>36268.43</v>
      </c>
      <c r="E14" s="6">
        <v>158.27843300000001</v>
      </c>
      <c r="F14" s="6">
        <v>2137.6</v>
      </c>
      <c r="G14" s="6">
        <v>124.489614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2">
        <v>42476</v>
      </c>
      <c r="C15" s="22">
        <v>42472</v>
      </c>
      <c r="D15" s="6">
        <v>158447.4</v>
      </c>
      <c r="E15" s="6">
        <v>233.532646</v>
      </c>
      <c r="F15" s="6">
        <v>4707.6000000000004</v>
      </c>
      <c r="G15" s="6">
        <v>132.856189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2">
        <v>42483</v>
      </c>
      <c r="C16" s="22">
        <v>42479</v>
      </c>
      <c r="D16" s="6">
        <v>271516.59999999998</v>
      </c>
      <c r="E16" s="6">
        <v>229.45004</v>
      </c>
      <c r="F16" s="6">
        <v>14933.6</v>
      </c>
      <c r="G16" s="6">
        <v>118.11792199999999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2">
        <v>42490</v>
      </c>
      <c r="C17" s="22">
        <v>42486</v>
      </c>
      <c r="D17" s="10">
        <v>288695</v>
      </c>
      <c r="E17" s="10">
        <v>226.00196399999999</v>
      </c>
      <c r="F17" s="10">
        <v>11658.4</v>
      </c>
      <c r="G17" s="10">
        <v>121.863274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2">
        <v>42497</v>
      </c>
      <c r="C18" s="22">
        <v>42493</v>
      </c>
      <c r="D18" s="10">
        <v>361691.9</v>
      </c>
      <c r="E18" s="10">
        <v>219.67714699999999</v>
      </c>
      <c r="F18" s="10">
        <v>20973.9</v>
      </c>
      <c r="G18" s="10">
        <v>118.824129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2">
        <v>42504</v>
      </c>
      <c r="C19" s="22">
        <v>42501</v>
      </c>
      <c r="D19" s="10">
        <v>361045.48</v>
      </c>
      <c r="E19" s="10">
        <v>213.76892900000001</v>
      </c>
      <c r="F19" s="10">
        <v>19650.3</v>
      </c>
      <c r="G19" s="10">
        <v>124.05577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2">
        <v>42511</v>
      </c>
      <c r="C20" s="22">
        <v>42507</v>
      </c>
      <c r="D20" s="10">
        <v>385531.5</v>
      </c>
      <c r="E20" s="10">
        <v>210.25538900000001</v>
      </c>
      <c r="F20" s="10">
        <v>25919.3</v>
      </c>
      <c r="G20" s="10">
        <v>120.40269600000001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2">
        <v>42518</v>
      </c>
      <c r="C21" s="22">
        <v>42514</v>
      </c>
      <c r="D21" s="10">
        <v>260088.75</v>
      </c>
      <c r="E21" s="10">
        <v>217.17715999999999</v>
      </c>
      <c r="F21" s="10">
        <v>18286.5</v>
      </c>
      <c r="G21" s="10">
        <v>118.010176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2">
        <v>42525</v>
      </c>
      <c r="C22" s="22">
        <v>42521</v>
      </c>
      <c r="D22" s="6">
        <v>207522</v>
      </c>
      <c r="E22" s="6">
        <v>233.18179699999999</v>
      </c>
      <c r="F22" s="6">
        <v>12143</v>
      </c>
      <c r="G22" s="6">
        <v>123.94708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2">
        <v>42532</v>
      </c>
      <c r="C23" s="22">
        <v>42528</v>
      </c>
      <c r="D23" s="6">
        <v>319167.95</v>
      </c>
      <c r="E23" s="6">
        <v>239.85574099999999</v>
      </c>
      <c r="F23" s="6">
        <v>14241.2</v>
      </c>
      <c r="G23" s="6">
        <v>126.49845500000001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2">
        <v>42539</v>
      </c>
      <c r="C24" s="22">
        <v>42535</v>
      </c>
      <c r="D24" s="6">
        <v>448758.4</v>
      </c>
      <c r="E24" s="6">
        <v>246.11324099999999</v>
      </c>
      <c r="F24" s="6">
        <v>15521.4</v>
      </c>
      <c r="G24" s="6">
        <v>130.89241899999999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2">
        <v>42546</v>
      </c>
      <c r="C25" s="22">
        <v>42544</v>
      </c>
      <c r="D25" s="6">
        <v>489176.25</v>
      </c>
      <c r="E25" s="6">
        <v>252.02858499999999</v>
      </c>
      <c r="F25" s="6">
        <v>21911.200000000001</v>
      </c>
      <c r="G25" s="6">
        <v>134.32023799999999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2">
        <v>42553</v>
      </c>
      <c r="C26" s="22">
        <v>42550</v>
      </c>
      <c r="D26" s="6">
        <v>466209.72</v>
      </c>
      <c r="E26" s="6">
        <v>244.282015</v>
      </c>
      <c r="F26" s="6">
        <v>21215</v>
      </c>
      <c r="G26" s="6">
        <v>134.70542499999999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2">
        <v>42560</v>
      </c>
      <c r="C27" s="22">
        <v>42559</v>
      </c>
      <c r="D27" s="6">
        <v>519571.8</v>
      </c>
      <c r="E27" s="6">
        <v>240.18916200000001</v>
      </c>
      <c r="F27" s="6">
        <v>29297.5</v>
      </c>
      <c r="G27" s="6">
        <v>139.27289300000001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2">
        <v>42567</v>
      </c>
      <c r="C28" s="22">
        <v>42564</v>
      </c>
      <c r="D28" s="6">
        <v>471844.8</v>
      </c>
      <c r="E28" s="6">
        <v>241.25558699999999</v>
      </c>
      <c r="F28" s="6">
        <v>33451.1</v>
      </c>
      <c r="G28" s="6">
        <v>138.69150999999999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2">
        <v>42574</v>
      </c>
      <c r="C29" s="22">
        <v>42570</v>
      </c>
      <c r="D29" s="6">
        <v>510695.6</v>
      </c>
      <c r="E29" s="6">
        <v>239.51074399999999</v>
      </c>
      <c r="F29" s="6">
        <v>30276.799999999999</v>
      </c>
      <c r="G29" s="6">
        <v>136.081256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2">
        <v>42581</v>
      </c>
      <c r="C30" s="22">
        <v>42577</v>
      </c>
      <c r="D30" s="6">
        <v>544951.26</v>
      </c>
      <c r="E30" s="6">
        <v>239.234737</v>
      </c>
      <c r="F30" s="6">
        <v>25798.799999999999</v>
      </c>
      <c r="G30" s="6">
        <v>137.69131100000001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2">
        <v>42588</v>
      </c>
      <c r="C31" s="22">
        <v>42584</v>
      </c>
      <c r="D31" s="6">
        <v>650695.9</v>
      </c>
      <c r="E31" s="6">
        <v>232.93875299999999</v>
      </c>
      <c r="F31" s="6">
        <v>31623.7</v>
      </c>
      <c r="G31" s="6">
        <v>129.696113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2">
        <v>42595</v>
      </c>
      <c r="C32" s="22">
        <v>42591</v>
      </c>
      <c r="D32" s="6">
        <v>570850.6</v>
      </c>
      <c r="E32" s="6">
        <v>232.183448</v>
      </c>
      <c r="F32" s="6">
        <v>24509.200000000001</v>
      </c>
      <c r="G32" s="6">
        <v>132.61699200000001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2">
        <v>42602</v>
      </c>
      <c r="C33" s="22">
        <v>42598</v>
      </c>
      <c r="D33" s="6">
        <v>593753.30000000005</v>
      </c>
      <c r="E33" s="6">
        <v>232.93785299999999</v>
      </c>
      <c r="F33" s="6">
        <v>14650.2</v>
      </c>
      <c r="G33" s="6">
        <v>129.254481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2">
        <v>42609</v>
      </c>
      <c r="C34" s="22">
        <v>42605</v>
      </c>
      <c r="D34" s="6">
        <v>740576.4</v>
      </c>
      <c r="E34" s="6">
        <v>224.298089</v>
      </c>
      <c r="F34" s="6">
        <v>32393</v>
      </c>
      <c r="G34" s="6">
        <v>132.652918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2">
        <v>42616</v>
      </c>
      <c r="C35" s="22">
        <v>42612</v>
      </c>
      <c r="D35" s="6">
        <v>661290.1</v>
      </c>
      <c r="E35" s="6">
        <v>219.35310799999999</v>
      </c>
      <c r="F35" s="6">
        <v>26047.9</v>
      </c>
      <c r="G35" s="6">
        <v>129.77476100000001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2">
        <v>42623</v>
      </c>
      <c r="C36" s="22">
        <v>42619</v>
      </c>
      <c r="D36" s="6">
        <v>563202.69999999995</v>
      </c>
      <c r="E36" s="6">
        <v>220.24810600000001</v>
      </c>
      <c r="F36" s="6">
        <v>49979.199999999997</v>
      </c>
      <c r="G36" s="6">
        <v>129.22792200000001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2">
        <v>42630</v>
      </c>
      <c r="C37" s="22">
        <v>42627</v>
      </c>
      <c r="D37" s="6">
        <v>643902</v>
      </c>
      <c r="E37" s="6">
        <v>214.06002599999999</v>
      </c>
      <c r="F37" s="6">
        <v>36925.9</v>
      </c>
      <c r="G37" s="6">
        <v>130.047595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2">
        <v>42637</v>
      </c>
      <c r="C38" s="22">
        <v>42633</v>
      </c>
      <c r="D38" s="6">
        <v>534581.94999999995</v>
      </c>
      <c r="E38" s="6">
        <v>212.360445</v>
      </c>
      <c r="F38" s="6">
        <v>28935</v>
      </c>
      <c r="G38" s="6">
        <v>120.950717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2">
        <v>42644</v>
      </c>
      <c r="C39" s="22">
        <v>42640</v>
      </c>
      <c r="D39" s="6">
        <v>647599.30000000005</v>
      </c>
      <c r="E39" s="6">
        <v>213.167292</v>
      </c>
      <c r="F39" s="6">
        <v>17849.2</v>
      </c>
      <c r="G39" s="6">
        <v>110.69716200000001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2">
        <v>42651</v>
      </c>
      <c r="C40" s="22">
        <v>42647</v>
      </c>
      <c r="D40" s="6">
        <v>549947.9</v>
      </c>
      <c r="E40" s="6">
        <v>204.841408</v>
      </c>
      <c r="F40" s="6">
        <v>60231.1</v>
      </c>
      <c r="G40" s="6">
        <v>117.805333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2">
        <v>42658</v>
      </c>
      <c r="C41" s="22"/>
      <c r="D41" s="6">
        <v>0</v>
      </c>
      <c r="E41" s="6">
        <v>0</v>
      </c>
      <c r="F41" s="6">
        <v>0</v>
      </c>
      <c r="G41" s="6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2">
        <v>42665</v>
      </c>
      <c r="C42" s="22">
        <v>42662</v>
      </c>
      <c r="D42" s="6">
        <v>811022.1</v>
      </c>
      <c r="E42" s="6">
        <v>212.468087</v>
      </c>
      <c r="F42" s="6">
        <v>59034.8</v>
      </c>
      <c r="G42" s="6">
        <v>122.693275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2">
        <v>42672</v>
      </c>
      <c r="C43" s="22">
        <v>42668</v>
      </c>
      <c r="D43" s="6">
        <v>688037.8</v>
      </c>
      <c r="E43" s="6">
        <v>211.45739499999999</v>
      </c>
      <c r="F43" s="6">
        <v>52898.9</v>
      </c>
      <c r="G43" s="6">
        <v>122.74073300000001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2">
        <v>42679</v>
      </c>
      <c r="C44" s="22">
        <v>42676</v>
      </c>
      <c r="D44" s="6">
        <v>687249.7</v>
      </c>
      <c r="E44" s="6">
        <v>210.82912300000001</v>
      </c>
      <c r="F44" s="6">
        <v>31961</v>
      </c>
      <c r="G44" s="6">
        <v>122.231607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2">
        <v>42686</v>
      </c>
      <c r="C45" s="22">
        <v>42683</v>
      </c>
      <c r="D45" s="6">
        <v>780442.05</v>
      </c>
      <c r="E45" s="6">
        <v>209.80326400000001</v>
      </c>
      <c r="F45" s="6">
        <v>59997.599999999999</v>
      </c>
      <c r="G45" s="6">
        <v>123.916353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2">
        <v>42693</v>
      </c>
      <c r="C46" s="22">
        <v>42690</v>
      </c>
      <c r="D46" s="6">
        <v>579545.30000000005</v>
      </c>
      <c r="E46" s="6">
        <v>205.86105800000001</v>
      </c>
      <c r="F46" s="6">
        <v>43523.1</v>
      </c>
      <c r="G46" s="6">
        <v>120.541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2">
        <v>42700</v>
      </c>
      <c r="C47" s="22">
        <v>42696</v>
      </c>
      <c r="D47" s="6">
        <v>585223.80000000005</v>
      </c>
      <c r="E47" s="6">
        <v>210.940372</v>
      </c>
      <c r="F47" s="6">
        <v>29594.6</v>
      </c>
      <c r="G47" s="6">
        <v>120.428862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2">
        <v>42707</v>
      </c>
      <c r="C48" s="22">
        <v>42703</v>
      </c>
      <c r="D48" s="6">
        <v>641676.9</v>
      </c>
      <c r="E48" s="6">
        <v>212.44461799999999</v>
      </c>
      <c r="F48" s="6">
        <v>70949.5</v>
      </c>
      <c r="G48" s="6">
        <v>115.771929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2">
        <v>42714</v>
      </c>
      <c r="C49" s="22">
        <v>42710</v>
      </c>
      <c r="D49" s="6">
        <v>627407</v>
      </c>
      <c r="E49" s="6">
        <v>212.96492599999999</v>
      </c>
      <c r="F49" s="6">
        <v>43719</v>
      </c>
      <c r="G49" s="6">
        <v>116.382092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2">
        <v>42721</v>
      </c>
      <c r="C50" s="22">
        <v>42717</v>
      </c>
      <c r="D50" s="6">
        <v>703406.9</v>
      </c>
      <c r="E50" s="6">
        <v>207.846082</v>
      </c>
      <c r="F50" s="6">
        <v>30106.2</v>
      </c>
      <c r="G50" s="6">
        <v>112.73665800000001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2">
        <v>42728</v>
      </c>
      <c r="C51" s="22">
        <v>42724</v>
      </c>
      <c r="D51" s="6">
        <v>724712.3</v>
      </c>
      <c r="E51" s="6">
        <v>207.340067</v>
      </c>
      <c r="F51" s="6">
        <v>56479.199999999997</v>
      </c>
      <c r="G51" s="6">
        <v>112.837423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2">
        <v>42735</v>
      </c>
      <c r="C52" s="22"/>
      <c r="D52" s="6">
        <v>0</v>
      </c>
      <c r="E52" s="6">
        <v>0</v>
      </c>
      <c r="F52" s="6">
        <v>0</v>
      </c>
      <c r="G52" s="6"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19"/>
      <c r="C53" s="16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22">
        <v>42742</v>
      </c>
      <c r="C1" s="22">
        <v>42738</v>
      </c>
      <c r="D1" s="6">
        <v>659803.38</v>
      </c>
      <c r="E1" s="6">
        <v>204.55541600000001</v>
      </c>
      <c r="F1" s="6">
        <v>32895.800000000003</v>
      </c>
      <c r="G1" s="6">
        <v>108.583746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2">
        <v>42749</v>
      </c>
      <c r="C2" s="22">
        <v>42745</v>
      </c>
      <c r="D2" s="6">
        <v>551906.6</v>
      </c>
      <c r="E2" s="6">
        <v>183.613167</v>
      </c>
      <c r="F2" s="6">
        <v>25779.5</v>
      </c>
      <c r="G2" s="6">
        <v>108.32691800000001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2">
        <v>42756</v>
      </c>
      <c r="C3" s="22">
        <v>42752</v>
      </c>
      <c r="D3" s="6">
        <v>491549.1</v>
      </c>
      <c r="E3" s="6">
        <v>173.021762</v>
      </c>
      <c r="F3" s="6">
        <v>47276.9</v>
      </c>
      <c r="G3" s="6">
        <v>108.03856399999999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2">
        <v>42763</v>
      </c>
      <c r="C4" s="22">
        <v>42759</v>
      </c>
      <c r="D4" s="6">
        <v>687739.8</v>
      </c>
      <c r="E4" s="6">
        <v>164.13430199999999</v>
      </c>
      <c r="F4" s="6">
        <v>30082.6</v>
      </c>
      <c r="G4" s="6">
        <v>108.718009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2">
        <v>42770</v>
      </c>
      <c r="C5" s="22">
        <v>42766</v>
      </c>
      <c r="D5" s="6">
        <v>643468.19999999995</v>
      </c>
      <c r="E5" s="6">
        <v>167.07414299999999</v>
      </c>
      <c r="F5" s="6">
        <v>26189.599999999999</v>
      </c>
      <c r="G5" s="6">
        <v>106.86318900000001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2">
        <v>42777</v>
      </c>
      <c r="C6" s="22">
        <v>42774</v>
      </c>
      <c r="D6" s="6">
        <v>416967.3</v>
      </c>
      <c r="E6" s="6">
        <v>158.765435</v>
      </c>
      <c r="F6" s="6">
        <v>42755.6</v>
      </c>
      <c r="G6" s="6">
        <v>111.47667199999999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2">
        <v>42784</v>
      </c>
      <c r="C7" s="22">
        <v>42780</v>
      </c>
      <c r="D7" s="6">
        <v>352097.75</v>
      </c>
      <c r="E7" s="6">
        <v>152.39807200000001</v>
      </c>
      <c r="F7" s="6">
        <v>47643.5</v>
      </c>
      <c r="G7" s="6">
        <v>106.114158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2">
        <v>42791</v>
      </c>
      <c r="C8" s="22">
        <v>42787</v>
      </c>
      <c r="D8" s="6">
        <v>137956.9</v>
      </c>
      <c r="E8" s="6">
        <v>148.63711000000001</v>
      </c>
      <c r="F8" s="6">
        <v>49760.4</v>
      </c>
      <c r="G8" s="6">
        <v>102.212847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2">
        <v>42798</v>
      </c>
      <c r="C9" s="22">
        <v>42794</v>
      </c>
      <c r="D9" s="6">
        <v>148435.5</v>
      </c>
      <c r="E9" s="6">
        <v>169.75160700000001</v>
      </c>
      <c r="F9" s="6">
        <v>35509.4</v>
      </c>
      <c r="G9" s="6">
        <v>102.21803800000001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2">
        <v>42805</v>
      </c>
      <c r="C10" s="22">
        <v>42801</v>
      </c>
      <c r="D10" s="6">
        <v>0</v>
      </c>
      <c r="E10" s="6">
        <v>0</v>
      </c>
      <c r="F10" s="6">
        <v>9874.6</v>
      </c>
      <c r="G10" s="6">
        <v>94.936605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2">
        <v>42812</v>
      </c>
      <c r="C11" s="22">
        <v>42808</v>
      </c>
      <c r="D11" s="6">
        <v>0</v>
      </c>
      <c r="E11" s="6">
        <v>0</v>
      </c>
      <c r="F11" s="6">
        <v>6454.4</v>
      </c>
      <c r="G11" s="6">
        <v>96.721213000000006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2">
        <v>42819</v>
      </c>
      <c r="C12" s="22">
        <v>42815</v>
      </c>
      <c r="D12" s="6">
        <v>193500.7</v>
      </c>
      <c r="E12" s="6">
        <v>167.280573</v>
      </c>
      <c r="F12" s="6">
        <v>2081.6</v>
      </c>
      <c r="G12" s="6">
        <v>87.221367999999998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2">
        <v>42826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4">
        <v>42833</v>
      </c>
      <c r="C14" s="24">
        <v>42829</v>
      </c>
      <c r="D14" s="14">
        <v>13914.7</v>
      </c>
      <c r="E14" s="14">
        <v>206.825098</v>
      </c>
      <c r="F14" s="14">
        <v>2739.8</v>
      </c>
      <c r="G14" s="14">
        <v>77.232716999999994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2">
        <v>42840</v>
      </c>
      <c r="C15" s="22">
        <v>42836</v>
      </c>
      <c r="D15" s="6">
        <v>20322.900000000001</v>
      </c>
      <c r="E15" s="6">
        <v>212.468569</v>
      </c>
      <c r="F15" s="6">
        <v>2109.1999999999998</v>
      </c>
      <c r="G15" s="6">
        <v>93.069410000000005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4">
        <v>42847</v>
      </c>
      <c r="C16" s="24">
        <v>42843</v>
      </c>
      <c r="D16" s="14">
        <v>65220.800000000003</v>
      </c>
      <c r="E16" s="14">
        <v>219.311319</v>
      </c>
      <c r="F16" s="14">
        <v>2387.6</v>
      </c>
      <c r="G16" s="14">
        <v>134.307254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2">
        <v>42854</v>
      </c>
      <c r="C17" s="22">
        <v>42850</v>
      </c>
      <c r="D17" s="10">
        <v>185323.3</v>
      </c>
      <c r="E17" s="10">
        <v>218.061677</v>
      </c>
      <c r="F17" s="10">
        <v>4071.5</v>
      </c>
      <c r="G17" s="10">
        <v>141.601203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2">
        <v>42861</v>
      </c>
      <c r="C18" s="22">
        <v>42857</v>
      </c>
      <c r="D18" s="10">
        <v>402670.25</v>
      </c>
      <c r="E18" s="10">
        <v>220.57655</v>
      </c>
      <c r="F18" s="10">
        <v>12151.2</v>
      </c>
      <c r="G18" s="10">
        <v>128.498963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2">
        <v>42868</v>
      </c>
      <c r="C19" s="22">
        <v>42863</v>
      </c>
      <c r="D19" s="10">
        <v>493887.2</v>
      </c>
      <c r="E19" s="10">
        <v>220.941969</v>
      </c>
      <c r="F19" s="10">
        <v>19834.400000000001</v>
      </c>
      <c r="G19" s="10">
        <v>128.845485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2">
        <v>42875</v>
      </c>
      <c r="C20" s="22">
        <v>42872</v>
      </c>
      <c r="D20" s="10">
        <v>420436</v>
      </c>
      <c r="E20" s="10">
        <v>217.56476599999999</v>
      </c>
      <c r="F20" s="10">
        <v>23734.2</v>
      </c>
      <c r="G20" s="10">
        <v>121.83059799999999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2">
        <v>42882</v>
      </c>
      <c r="C21" s="22">
        <v>42878</v>
      </c>
      <c r="D21" s="10">
        <v>517895.7</v>
      </c>
      <c r="E21" s="10">
        <v>209.93431699999999</v>
      </c>
      <c r="F21" s="10">
        <v>31507</v>
      </c>
      <c r="G21" s="10">
        <v>114.924772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2">
        <v>42889</v>
      </c>
      <c r="C22" s="22">
        <v>42885</v>
      </c>
      <c r="D22" s="6">
        <v>554054.40000000002</v>
      </c>
      <c r="E22" s="6">
        <v>210.007296</v>
      </c>
      <c r="F22" s="6">
        <v>28596.5</v>
      </c>
      <c r="G22" s="6">
        <v>120.927207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2">
        <v>42896</v>
      </c>
      <c r="C23" s="22">
        <v>42892</v>
      </c>
      <c r="D23" s="6">
        <v>576559</v>
      </c>
      <c r="E23" s="6">
        <v>212.98299900000001</v>
      </c>
      <c r="F23" s="6">
        <v>31345.599999999999</v>
      </c>
      <c r="G23" s="6">
        <v>123.22599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2">
        <v>42903</v>
      </c>
      <c r="C24" s="22">
        <v>42899</v>
      </c>
      <c r="D24" s="6">
        <v>647169.65</v>
      </c>
      <c r="E24" s="6">
        <v>217.58627300000001</v>
      </c>
      <c r="F24" s="6">
        <v>24462.799999999999</v>
      </c>
      <c r="G24" s="6">
        <v>124.878623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2">
        <v>42910</v>
      </c>
      <c r="C25" s="22">
        <v>42906</v>
      </c>
      <c r="D25" s="6">
        <v>496449.4</v>
      </c>
      <c r="E25" s="6">
        <v>229.13698600000001</v>
      </c>
      <c r="F25" s="6">
        <v>29494.7</v>
      </c>
      <c r="G25" s="6">
        <v>120.72246800000001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2">
        <v>42917</v>
      </c>
      <c r="C26" s="22">
        <v>42913</v>
      </c>
      <c r="D26" s="6">
        <v>619729.19999999995</v>
      </c>
      <c r="E26" s="6">
        <v>233.706828</v>
      </c>
      <c r="F26" s="6">
        <v>46295.519999999997</v>
      </c>
      <c r="G26" s="6">
        <v>129.715013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2">
        <v>42924</v>
      </c>
      <c r="C27" s="22">
        <v>42922</v>
      </c>
      <c r="D27" s="6">
        <v>564112</v>
      </c>
      <c r="E27" s="6">
        <v>231.759815</v>
      </c>
      <c r="F27" s="6">
        <v>47986.9</v>
      </c>
      <c r="G27" s="6">
        <v>128.81613100000001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2">
        <v>42931</v>
      </c>
      <c r="C28" s="22">
        <v>42928</v>
      </c>
      <c r="D28" s="6">
        <v>503076.75</v>
      </c>
      <c r="E28" s="6">
        <v>229.80529799999999</v>
      </c>
      <c r="F28" s="6">
        <v>37677.4</v>
      </c>
      <c r="G28" s="6">
        <v>133.83722299999999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2">
        <v>42938</v>
      </c>
      <c r="C29" s="22">
        <v>42935</v>
      </c>
      <c r="D29" s="6">
        <v>645179.35</v>
      </c>
      <c r="E29" s="6">
        <v>235.632687</v>
      </c>
      <c r="F29" s="6">
        <v>46555.1</v>
      </c>
      <c r="G29" s="6">
        <v>131.75131400000001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2">
        <v>42945</v>
      </c>
      <c r="C30" s="22">
        <v>42942</v>
      </c>
      <c r="D30" s="6">
        <v>634981.32999999996</v>
      </c>
      <c r="E30" s="6">
        <v>238.31312700000001</v>
      </c>
      <c r="F30" s="6">
        <v>43392</v>
      </c>
      <c r="G30" s="6">
        <v>139.135121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2">
        <v>42952</v>
      </c>
      <c r="C31" s="22">
        <v>42949</v>
      </c>
      <c r="D31" s="6">
        <v>716917.76000000001</v>
      </c>
      <c r="E31" s="6">
        <v>235.75873999999999</v>
      </c>
      <c r="F31" s="6">
        <v>43907.6</v>
      </c>
      <c r="G31" s="6">
        <v>137.54332700000001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2">
        <v>42959</v>
      </c>
      <c r="C32" s="22">
        <v>42955</v>
      </c>
      <c r="D32" s="6">
        <v>637388.05000000005</v>
      </c>
      <c r="E32" s="6">
        <v>236.332461</v>
      </c>
      <c r="F32" s="6">
        <v>45583.8</v>
      </c>
      <c r="G32" s="6">
        <v>129.29651699999999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2">
        <v>42966</v>
      </c>
      <c r="C33" s="22">
        <v>42963</v>
      </c>
      <c r="D33" s="6">
        <v>761956.4</v>
      </c>
      <c r="E33" s="6">
        <v>232.85481200000001</v>
      </c>
      <c r="F33" s="6">
        <v>56900.7</v>
      </c>
      <c r="G33" s="6">
        <v>123.22389800000001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2">
        <v>42973</v>
      </c>
      <c r="C34" s="22">
        <v>42969</v>
      </c>
      <c r="D34" s="6">
        <v>716824.52</v>
      </c>
      <c r="E34" s="6">
        <v>236.65181699999999</v>
      </c>
      <c r="F34" s="6">
        <v>40382.199999999997</v>
      </c>
      <c r="G34" s="6">
        <v>121.279687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2">
        <v>42980</v>
      </c>
      <c r="C35" s="22">
        <v>42976</v>
      </c>
      <c r="D35" s="6">
        <v>819473.07</v>
      </c>
      <c r="E35" s="6">
        <v>215.19863000000001</v>
      </c>
      <c r="F35" s="6">
        <v>40589.800000000003</v>
      </c>
      <c r="G35" s="6">
        <v>124.034915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2">
        <v>42987</v>
      </c>
      <c r="C36" s="22">
        <v>42983</v>
      </c>
      <c r="D36" s="6">
        <v>652754.5</v>
      </c>
      <c r="E36" s="6">
        <v>217.77184299999999</v>
      </c>
      <c r="F36" s="6">
        <v>33142</v>
      </c>
      <c r="G36" s="6">
        <v>116.784195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2">
        <v>42994</v>
      </c>
      <c r="C37" s="22">
        <v>42990</v>
      </c>
      <c r="D37" s="6">
        <v>683026.05</v>
      </c>
      <c r="E37" s="6">
        <v>214.39957899999999</v>
      </c>
      <c r="F37" s="6">
        <v>36469</v>
      </c>
      <c r="G37" s="6">
        <v>112.38973900000001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2">
        <v>43001</v>
      </c>
      <c r="C38" s="22">
        <v>42998</v>
      </c>
      <c r="D38" s="6">
        <v>746223.6</v>
      </c>
      <c r="E38" s="6">
        <v>213.82399000000001</v>
      </c>
      <c r="F38" s="6">
        <v>77847.8</v>
      </c>
      <c r="G38" s="6">
        <v>118.190718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2">
        <v>43008</v>
      </c>
      <c r="C39" s="22"/>
      <c r="D39" s="6">
        <v>0</v>
      </c>
      <c r="E39" s="6">
        <v>0</v>
      </c>
      <c r="F39" s="6">
        <v>0</v>
      </c>
      <c r="G39" s="6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2">
        <v>43015</v>
      </c>
      <c r="C40" s="22">
        <v>43012</v>
      </c>
      <c r="D40" s="6">
        <v>483058.68</v>
      </c>
      <c r="E40" s="6">
        <v>223.379276</v>
      </c>
      <c r="F40" s="6">
        <v>18045</v>
      </c>
      <c r="G40" s="6">
        <v>120.29003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2">
        <v>43022</v>
      </c>
      <c r="C41" s="22">
        <v>43018</v>
      </c>
      <c r="D41" s="6">
        <v>819726.6</v>
      </c>
      <c r="E41" s="6">
        <v>213.44105500000001</v>
      </c>
      <c r="F41" s="6">
        <v>75338</v>
      </c>
      <c r="G41" s="6">
        <v>111.336034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2">
        <v>43029</v>
      </c>
      <c r="C42" s="22">
        <v>43025</v>
      </c>
      <c r="D42" s="6">
        <v>742026.21</v>
      </c>
      <c r="E42" s="6">
        <v>217.93255500000001</v>
      </c>
      <c r="F42" s="6">
        <v>54332.6</v>
      </c>
      <c r="G42" s="6">
        <v>112.420528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2">
        <v>43036</v>
      </c>
      <c r="C43" s="22">
        <v>43033</v>
      </c>
      <c r="D43" s="6">
        <v>1054758.3999999999</v>
      </c>
      <c r="E43" s="6">
        <v>212.73653400000001</v>
      </c>
      <c r="F43" s="6">
        <v>71399.899999999994</v>
      </c>
      <c r="G43" s="6">
        <v>113.55002399999999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2">
        <v>43043</v>
      </c>
      <c r="C44" s="22">
        <v>43040</v>
      </c>
      <c r="D44" s="6">
        <v>705553.56</v>
      </c>
      <c r="E44" s="6">
        <v>211.05416</v>
      </c>
      <c r="F44" s="6">
        <v>67277</v>
      </c>
      <c r="G44" s="6">
        <v>106.252505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2">
        <v>43050</v>
      </c>
      <c r="C45" s="22">
        <v>43047</v>
      </c>
      <c r="D45" s="6">
        <v>923577.49</v>
      </c>
      <c r="E45" s="6">
        <v>222.53687600000001</v>
      </c>
      <c r="F45" s="6">
        <v>59964.2</v>
      </c>
      <c r="G45" s="6">
        <v>106.270421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2">
        <v>43057</v>
      </c>
      <c r="C46" s="22">
        <v>43054</v>
      </c>
      <c r="D46" s="6">
        <v>821363.55</v>
      </c>
      <c r="E46" s="6">
        <v>216.840396</v>
      </c>
      <c r="F46" s="6">
        <v>60431</v>
      </c>
      <c r="G46" s="6">
        <v>115.07089000000001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2">
        <v>43064</v>
      </c>
      <c r="C47" s="22">
        <v>43060</v>
      </c>
      <c r="D47" s="6">
        <v>730568.85</v>
      </c>
      <c r="E47" s="6">
        <v>209.76864</v>
      </c>
      <c r="F47" s="6">
        <v>80465.2</v>
      </c>
      <c r="G47" s="6">
        <v>115.616882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2">
        <v>43071</v>
      </c>
      <c r="C48" s="22">
        <v>43067</v>
      </c>
      <c r="D48" s="6">
        <v>631894.30000000005</v>
      </c>
      <c r="E48" s="6">
        <v>210.64367899999999</v>
      </c>
      <c r="F48" s="6">
        <v>62710</v>
      </c>
      <c r="G48" s="6">
        <v>111.737167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2">
        <v>43078</v>
      </c>
      <c r="C49" s="22">
        <v>43074</v>
      </c>
      <c r="D49" s="6">
        <v>694790.28</v>
      </c>
      <c r="E49" s="6">
        <v>209.945165</v>
      </c>
      <c r="F49" s="6">
        <v>89242.9</v>
      </c>
      <c r="G49" s="6">
        <v>112.21141900000001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2">
        <v>43085</v>
      </c>
      <c r="C50" s="22">
        <v>43081</v>
      </c>
      <c r="D50" s="6">
        <v>552372.52</v>
      </c>
      <c r="E50" s="6">
        <v>197.219213</v>
      </c>
      <c r="F50" s="6">
        <v>65876</v>
      </c>
      <c r="G50" s="6">
        <v>113.08708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2">
        <v>43092</v>
      </c>
      <c r="C51" s="22">
        <v>43088</v>
      </c>
      <c r="D51" s="6">
        <v>669405.4</v>
      </c>
      <c r="E51" s="6">
        <v>194.823306</v>
      </c>
      <c r="F51" s="6">
        <v>75378.600000000006</v>
      </c>
      <c r="G51" s="6">
        <v>113.271244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2">
        <v>43099</v>
      </c>
      <c r="C52" s="22">
        <v>43095</v>
      </c>
      <c r="D52" s="6">
        <v>526716.4</v>
      </c>
      <c r="E52" s="6">
        <v>189.717805</v>
      </c>
      <c r="F52" s="6">
        <v>87093</v>
      </c>
      <c r="G52" s="6">
        <v>107.41028300000001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19"/>
      <c r="C53" s="16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22">
        <v>43106</v>
      </c>
      <c r="C1" s="22">
        <v>43102</v>
      </c>
      <c r="D1" s="6">
        <v>489774.3</v>
      </c>
      <c r="E1" s="6">
        <v>188.26124100000001</v>
      </c>
      <c r="F1" s="6">
        <v>68928.899999999994</v>
      </c>
      <c r="G1" s="6">
        <v>108.18537999999999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2">
        <v>43113</v>
      </c>
      <c r="C2" s="22">
        <v>43109</v>
      </c>
      <c r="D2" s="6">
        <v>497203.9</v>
      </c>
      <c r="E2" s="6">
        <v>170.04409899999999</v>
      </c>
      <c r="F2" s="6">
        <v>0</v>
      </c>
      <c r="G2" s="6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2">
        <v>43120</v>
      </c>
      <c r="C3" s="22">
        <v>43115</v>
      </c>
      <c r="D3" s="6">
        <v>560776.6</v>
      </c>
      <c r="E3" s="6">
        <v>163.11912599999999</v>
      </c>
      <c r="F3" s="6">
        <v>61128.1</v>
      </c>
      <c r="G3" s="6">
        <v>105.253112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2">
        <v>43127</v>
      </c>
      <c r="C4" s="22">
        <v>43124</v>
      </c>
      <c r="D4" s="6">
        <v>0</v>
      </c>
      <c r="E4" s="6">
        <v>0</v>
      </c>
      <c r="F4" s="6">
        <v>50145</v>
      </c>
      <c r="G4" s="6">
        <v>98.318862999999993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2">
        <v>43134</v>
      </c>
      <c r="C5" s="22">
        <v>43130</v>
      </c>
      <c r="D5" s="6">
        <v>636138.19999999995</v>
      </c>
      <c r="E5" s="6">
        <v>158.99562</v>
      </c>
      <c r="F5" s="6">
        <v>42154.8</v>
      </c>
      <c r="G5" s="6">
        <v>93.160388999999995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2">
        <v>43141</v>
      </c>
      <c r="C6" s="22">
        <v>43137</v>
      </c>
      <c r="D6" s="6">
        <v>543761.4</v>
      </c>
      <c r="E6" s="6">
        <v>146.013441</v>
      </c>
      <c r="F6" s="6">
        <v>44040.6</v>
      </c>
      <c r="G6" s="6">
        <v>90.872389999999996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2">
        <v>43148</v>
      </c>
      <c r="C7" s="22">
        <v>43144</v>
      </c>
      <c r="D7" s="6">
        <v>243010.2</v>
      </c>
      <c r="E7" s="6">
        <v>167.28440699999999</v>
      </c>
      <c r="F7" s="6">
        <v>26332.799999999999</v>
      </c>
      <c r="G7" s="6">
        <v>87.595119999999994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2">
        <v>43155</v>
      </c>
      <c r="C8" s="22">
        <v>43151</v>
      </c>
      <c r="D8" s="6">
        <v>314696.7</v>
      </c>
      <c r="E8" s="6">
        <v>152.142233</v>
      </c>
      <c r="F8" s="6">
        <v>33189.4</v>
      </c>
      <c r="G8" s="6">
        <v>86.251947000000001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2">
        <v>43162</v>
      </c>
      <c r="C9" s="22">
        <v>43158</v>
      </c>
      <c r="D9" s="6">
        <v>156587.79999999999</v>
      </c>
      <c r="E9" s="6">
        <v>168.87629699999999</v>
      </c>
      <c r="F9" s="6">
        <v>15023.7</v>
      </c>
      <c r="G9" s="6">
        <v>77.584929000000002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2">
        <v>43169</v>
      </c>
      <c r="C10" s="22"/>
      <c r="D10" s="6">
        <v>0</v>
      </c>
      <c r="E10" s="6">
        <v>0</v>
      </c>
      <c r="F10" s="6">
        <v>0</v>
      </c>
      <c r="G10" s="6"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2">
        <v>43176</v>
      </c>
      <c r="C11" s="22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2">
        <v>43183</v>
      </c>
      <c r="C12" s="22">
        <v>43179</v>
      </c>
      <c r="D12" s="6">
        <v>294704.40000000002</v>
      </c>
      <c r="E12" s="6">
        <v>172.616896</v>
      </c>
      <c r="F12" s="6">
        <v>25892.400000000001</v>
      </c>
      <c r="G12" s="6">
        <v>84.829910999999996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4">
        <v>43190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4">
        <v>43197</v>
      </c>
      <c r="C14" s="24">
        <v>43194</v>
      </c>
      <c r="D14" s="14">
        <v>148476.9</v>
      </c>
      <c r="E14" s="14">
        <v>183.988528</v>
      </c>
      <c r="F14" s="14">
        <v>5167.8</v>
      </c>
      <c r="G14" s="14">
        <v>72.600913000000006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2">
        <v>43204</v>
      </c>
      <c r="C15" s="24">
        <v>43200</v>
      </c>
      <c r="D15" s="6">
        <v>132385.79999999999</v>
      </c>
      <c r="E15" s="6">
        <v>174.88779500000001</v>
      </c>
      <c r="F15" s="6">
        <v>1532.6</v>
      </c>
      <c r="G15" s="6">
        <v>89.901872999999995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2">
        <v>43211</v>
      </c>
      <c r="C16" s="22">
        <v>43207</v>
      </c>
      <c r="D16" s="14">
        <v>113110.7</v>
      </c>
      <c r="E16" s="14">
        <v>216.061184</v>
      </c>
      <c r="F16" s="14">
        <v>846.9</v>
      </c>
      <c r="G16" s="14">
        <v>129.797496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2">
        <v>43218</v>
      </c>
      <c r="C17" s="22">
        <v>43214</v>
      </c>
      <c r="D17" s="10">
        <v>277483.2</v>
      </c>
      <c r="E17" s="10">
        <v>219.761821</v>
      </c>
      <c r="F17" s="10">
        <v>4054.6</v>
      </c>
      <c r="G17" s="10">
        <v>106.489912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2">
        <v>43225</v>
      </c>
      <c r="C18" s="22">
        <v>43222</v>
      </c>
      <c r="D18" s="10">
        <v>601307.25</v>
      </c>
      <c r="E18" s="10">
        <v>230.44259500000001</v>
      </c>
      <c r="F18" s="10">
        <v>16647.5</v>
      </c>
      <c r="G18" s="10">
        <v>121.865337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2">
        <v>43232</v>
      </c>
      <c r="C19" s="22">
        <v>43228</v>
      </c>
      <c r="D19" s="10">
        <v>635233.69999999995</v>
      </c>
      <c r="E19" s="10">
        <v>223.02214599999999</v>
      </c>
      <c r="F19" s="10">
        <v>17486.400000000001</v>
      </c>
      <c r="G19" s="10">
        <v>117.69198900000001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2">
        <v>43239</v>
      </c>
      <c r="C20" s="22">
        <v>43235</v>
      </c>
      <c r="D20" s="6">
        <v>516976.94</v>
      </c>
      <c r="E20" s="6">
        <v>215.502217</v>
      </c>
      <c r="F20" s="10">
        <v>15868.6</v>
      </c>
      <c r="G20" s="10">
        <v>111.57701299999999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2">
        <v>43246</v>
      </c>
      <c r="C21" s="22">
        <v>43242</v>
      </c>
      <c r="D21" s="10">
        <v>581693.24</v>
      </c>
      <c r="E21" s="10">
        <v>210.769147</v>
      </c>
      <c r="F21" s="10">
        <v>22620.799999999999</v>
      </c>
      <c r="G21" s="10">
        <v>115.89618400000001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2">
        <v>43253</v>
      </c>
      <c r="C22" s="22">
        <v>43249</v>
      </c>
      <c r="D22" s="6">
        <v>569686.30000000005</v>
      </c>
      <c r="E22" s="6">
        <v>212.16840500000001</v>
      </c>
      <c r="F22" s="6">
        <v>32304.5</v>
      </c>
      <c r="G22" s="6">
        <v>108.923406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2">
        <v>43260</v>
      </c>
      <c r="C23" s="22">
        <v>43256</v>
      </c>
      <c r="D23" s="6">
        <v>529489.15</v>
      </c>
      <c r="E23" s="6">
        <v>213.33822499999999</v>
      </c>
      <c r="F23" s="6">
        <v>28960.9</v>
      </c>
      <c r="G23" s="6">
        <v>108.408288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2">
        <v>43267</v>
      </c>
      <c r="C24" s="22">
        <v>43263</v>
      </c>
      <c r="D24" s="6">
        <v>541704.19999999995</v>
      </c>
      <c r="E24" s="6">
        <v>224.39107100000001</v>
      </c>
      <c r="F24" s="6">
        <v>36141.199999999997</v>
      </c>
      <c r="G24" s="6">
        <v>119.93270200000001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2">
        <v>43274</v>
      </c>
      <c r="C25" s="22">
        <v>43270</v>
      </c>
      <c r="D25" s="6">
        <v>520772.15</v>
      </c>
      <c r="E25" s="6">
        <v>227.06419500000001</v>
      </c>
      <c r="F25" s="6">
        <v>33356.400000000001</v>
      </c>
      <c r="G25" s="6">
        <v>125.86551300000001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2">
        <v>43281</v>
      </c>
      <c r="C26" s="22">
        <v>43277</v>
      </c>
      <c r="D26" s="6">
        <v>631252.19999999995</v>
      </c>
      <c r="E26" s="6">
        <v>233.215934</v>
      </c>
      <c r="F26" s="6">
        <v>26423.200000000001</v>
      </c>
      <c r="G26" s="6">
        <v>124.419631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2">
        <v>43288</v>
      </c>
      <c r="C27" s="22">
        <v>43284</v>
      </c>
      <c r="D27" s="6">
        <v>713882.5</v>
      </c>
      <c r="E27" s="6">
        <v>234.79311000000001</v>
      </c>
      <c r="F27" s="6">
        <v>37155.800000000003</v>
      </c>
      <c r="G27" s="6">
        <v>130.57744400000001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2">
        <v>43295</v>
      </c>
      <c r="C28" s="22">
        <v>43291</v>
      </c>
      <c r="D28" s="6">
        <v>624455.75</v>
      </c>
      <c r="E28" s="6">
        <v>225.92430400000001</v>
      </c>
      <c r="F28" s="6">
        <v>35371.1</v>
      </c>
      <c r="G28" s="6">
        <v>120.26812200000001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2">
        <v>43302</v>
      </c>
      <c r="C29" s="22">
        <v>43298</v>
      </c>
      <c r="D29" s="6">
        <v>671032.9</v>
      </c>
      <c r="E29" s="6">
        <v>230.004932</v>
      </c>
      <c r="F29" s="6">
        <v>43294</v>
      </c>
      <c r="G29" s="6">
        <v>119.549646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2">
        <v>43309</v>
      </c>
      <c r="C30" s="22">
        <v>43305</v>
      </c>
      <c r="D30" s="6">
        <v>609059.35</v>
      </c>
      <c r="E30" s="6">
        <v>216.63136700000001</v>
      </c>
      <c r="F30" s="6">
        <v>23535.599999999999</v>
      </c>
      <c r="G30" s="6">
        <v>123.911317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2">
        <v>43316</v>
      </c>
      <c r="C31" s="22">
        <v>43312</v>
      </c>
      <c r="D31" s="6">
        <v>540690.65</v>
      </c>
      <c r="E31" s="6">
        <v>208.402119</v>
      </c>
      <c r="F31" s="6">
        <v>38285.9</v>
      </c>
      <c r="G31" s="6">
        <v>120.83789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2">
        <v>43323</v>
      </c>
      <c r="C32" s="22">
        <v>43319</v>
      </c>
      <c r="D32" s="6">
        <v>731314.4</v>
      </c>
      <c r="E32" s="6">
        <v>215.758318</v>
      </c>
      <c r="F32" s="6">
        <v>39588.300000000003</v>
      </c>
      <c r="G32" s="6">
        <v>121.625826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2">
        <v>43330</v>
      </c>
      <c r="C33" s="22">
        <v>43326</v>
      </c>
      <c r="D33" s="6">
        <v>892181.18</v>
      </c>
      <c r="E33" s="6">
        <v>208.46929499999999</v>
      </c>
      <c r="F33" s="6">
        <v>39833.699999999997</v>
      </c>
      <c r="G33" s="6">
        <v>116.67165900000001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2">
        <v>43337</v>
      </c>
      <c r="C34" s="22">
        <v>43333</v>
      </c>
      <c r="D34" s="6">
        <v>698631.7</v>
      </c>
      <c r="E34" s="6">
        <v>209.76370499999999</v>
      </c>
      <c r="F34" s="6">
        <v>30443.8</v>
      </c>
      <c r="G34" s="6">
        <v>109.997713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2">
        <v>43344</v>
      </c>
      <c r="C35" s="22">
        <v>43340</v>
      </c>
      <c r="D35" s="6">
        <v>553985.6</v>
      </c>
      <c r="E35" s="6">
        <v>200.90778900000001</v>
      </c>
      <c r="F35" s="6">
        <v>76100.2</v>
      </c>
      <c r="G35" s="6">
        <v>115.38821900000001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2">
        <v>43351</v>
      </c>
      <c r="C36" s="22">
        <v>43347</v>
      </c>
      <c r="D36" s="6">
        <v>755618.07</v>
      </c>
      <c r="E36" s="6">
        <v>189.68883400000001</v>
      </c>
      <c r="F36" s="6">
        <v>42663.8</v>
      </c>
      <c r="G36" s="6">
        <v>107.87341000000001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2">
        <v>43358</v>
      </c>
      <c r="C37" s="22">
        <v>43354</v>
      </c>
      <c r="D37" s="6">
        <v>792768.34</v>
      </c>
      <c r="E37" s="6">
        <v>189.755042</v>
      </c>
      <c r="F37" s="6">
        <v>46895</v>
      </c>
      <c r="G37" s="6">
        <v>104.13087899999999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2">
        <v>43365</v>
      </c>
      <c r="C38" s="22">
        <v>43361</v>
      </c>
      <c r="D38" s="6">
        <v>772914.7</v>
      </c>
      <c r="E38" s="6">
        <v>193.466229</v>
      </c>
      <c r="F38" s="6">
        <v>33793.599999999999</v>
      </c>
      <c r="G38" s="6">
        <v>105.663859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2">
        <v>43372</v>
      </c>
      <c r="C39" s="22">
        <v>43368</v>
      </c>
      <c r="D39" s="6">
        <v>997366.28</v>
      </c>
      <c r="E39" s="6">
        <v>195.72063299999999</v>
      </c>
      <c r="F39" s="6">
        <v>28318.1</v>
      </c>
      <c r="G39" s="6">
        <v>105.142777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2">
        <v>43379</v>
      </c>
      <c r="C40" s="22">
        <v>43374</v>
      </c>
      <c r="D40" s="6">
        <v>961993.1</v>
      </c>
      <c r="E40" s="6">
        <v>199.80618200000001</v>
      </c>
      <c r="F40" s="6">
        <v>33650.699999999997</v>
      </c>
      <c r="G40" s="6">
        <v>109.432579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2">
        <v>43386</v>
      </c>
      <c r="C41" s="22">
        <v>43382</v>
      </c>
      <c r="D41" s="6">
        <v>711525.6</v>
      </c>
      <c r="E41" s="6">
        <v>195.41666799999999</v>
      </c>
      <c r="F41" s="6">
        <v>31364.1</v>
      </c>
      <c r="G41" s="6">
        <v>113.86122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2">
        <v>43393</v>
      </c>
      <c r="C42" s="22"/>
      <c r="D42" s="6">
        <v>0</v>
      </c>
      <c r="E42" s="6">
        <v>0</v>
      </c>
      <c r="F42" s="6">
        <v>0</v>
      </c>
      <c r="G42" s="6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2">
        <v>43400</v>
      </c>
      <c r="C43" s="22">
        <v>43396</v>
      </c>
      <c r="D43" s="6">
        <v>677257.15</v>
      </c>
      <c r="E43" s="6">
        <v>208.11462499999999</v>
      </c>
      <c r="F43" s="6">
        <v>30511.1</v>
      </c>
      <c r="G43" s="6">
        <v>111.29832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2">
        <v>43407</v>
      </c>
      <c r="C44" s="22">
        <v>43403</v>
      </c>
      <c r="D44" s="6">
        <v>680838.2</v>
      </c>
      <c r="E44" s="6">
        <v>205.93743499999999</v>
      </c>
      <c r="F44" s="6">
        <v>45782.5</v>
      </c>
      <c r="G44" s="6">
        <v>117.51987099999999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2">
        <v>43414</v>
      </c>
      <c r="C45" s="22">
        <v>43409</v>
      </c>
      <c r="D45" s="6">
        <v>451263.4</v>
      </c>
      <c r="E45" s="6">
        <v>214.91441900000001</v>
      </c>
      <c r="F45" s="6">
        <v>21029.599999999999</v>
      </c>
      <c r="G45" s="6">
        <v>116.57426599999999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2">
        <v>43421</v>
      </c>
      <c r="C46" s="22">
        <v>43418</v>
      </c>
      <c r="D46" s="6">
        <v>729334.85</v>
      </c>
      <c r="E46" s="6">
        <v>215.91506200000001</v>
      </c>
      <c r="F46" s="6">
        <v>28675.599999999999</v>
      </c>
      <c r="G46" s="6">
        <v>115.398785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2">
        <v>43428</v>
      </c>
      <c r="C47" s="22">
        <v>43424</v>
      </c>
      <c r="D47" s="6">
        <v>667069.80000000005</v>
      </c>
      <c r="E47" s="6">
        <v>206.342748</v>
      </c>
      <c r="F47" s="6">
        <v>52977.8</v>
      </c>
      <c r="G47" s="6">
        <v>113.490945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2">
        <v>43435</v>
      </c>
      <c r="C48" s="22">
        <v>43431</v>
      </c>
      <c r="D48" s="6">
        <v>879460.1</v>
      </c>
      <c r="E48" s="6">
        <v>211.93425099999999</v>
      </c>
      <c r="F48" s="6">
        <v>65711.899999999994</v>
      </c>
      <c r="G48" s="6">
        <v>110.42305399999999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2">
        <v>43442</v>
      </c>
      <c r="C49" s="22">
        <v>43438</v>
      </c>
      <c r="D49" s="6">
        <v>1000784.8</v>
      </c>
      <c r="E49" s="6">
        <v>227.489462</v>
      </c>
      <c r="F49" s="6">
        <v>58527.199999999997</v>
      </c>
      <c r="G49" s="6">
        <v>118.456464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2">
        <v>43449</v>
      </c>
      <c r="C50" s="22">
        <v>43445</v>
      </c>
      <c r="D50" s="6">
        <v>959842.3</v>
      </c>
      <c r="E50" s="6">
        <v>221.39237499999999</v>
      </c>
      <c r="F50" s="6">
        <v>42723.7</v>
      </c>
      <c r="G50" s="6">
        <v>119.581709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2">
        <v>43456</v>
      </c>
      <c r="C51" s="22">
        <v>43452</v>
      </c>
      <c r="D51" s="6">
        <v>849544.1</v>
      </c>
      <c r="E51" s="6">
        <v>216.55578</v>
      </c>
      <c r="F51" s="6">
        <v>52249.4</v>
      </c>
      <c r="G51" s="6">
        <v>121.444969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2">
        <v>43463</v>
      </c>
      <c r="C52" s="22">
        <v>43460</v>
      </c>
      <c r="D52" s="6">
        <v>842458.3</v>
      </c>
      <c r="E52" s="6">
        <v>203.617142</v>
      </c>
      <c r="F52" s="6">
        <v>49531.6</v>
      </c>
      <c r="G52" s="6">
        <v>120.460251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19"/>
      <c r="C53" s="16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22">
        <v>43470</v>
      </c>
      <c r="C1" s="22">
        <v>43467</v>
      </c>
      <c r="D1" s="6">
        <v>653603.30000000005</v>
      </c>
      <c r="E1" s="6">
        <v>190.49201299999999</v>
      </c>
      <c r="F1" s="6">
        <v>29919.4</v>
      </c>
      <c r="G1" s="6">
        <v>117.185598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2">
        <v>43477</v>
      </c>
      <c r="C2" s="22">
        <v>43473</v>
      </c>
      <c r="D2" s="6">
        <v>707829.1</v>
      </c>
      <c r="E2" s="6">
        <v>195.164997</v>
      </c>
      <c r="F2" s="6">
        <v>91672.8</v>
      </c>
      <c r="G2" s="6">
        <v>111.769469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2">
        <v>43484</v>
      </c>
      <c r="C3" s="22">
        <v>43480</v>
      </c>
      <c r="D3" s="6">
        <v>496102.2</v>
      </c>
      <c r="E3" s="6">
        <v>195.27570399999999</v>
      </c>
      <c r="F3" s="6">
        <v>49954.1</v>
      </c>
      <c r="G3" s="6">
        <v>111.13654699999999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2">
        <v>43491</v>
      </c>
      <c r="C4" s="22">
        <v>43486</v>
      </c>
      <c r="D4" s="6">
        <v>462712.4</v>
      </c>
      <c r="E4" s="6">
        <v>178.214134</v>
      </c>
      <c r="F4" s="6">
        <v>44987</v>
      </c>
      <c r="G4" s="6">
        <v>110.55053599999999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2">
        <v>43498</v>
      </c>
      <c r="C5" s="22">
        <v>43494</v>
      </c>
      <c r="D5" s="6">
        <v>305048.59999999998</v>
      </c>
      <c r="E5" s="6">
        <v>145.94883899999999</v>
      </c>
      <c r="F5" s="6">
        <v>54838</v>
      </c>
      <c r="G5" s="6">
        <v>112.20469900000001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2">
        <v>43505</v>
      </c>
      <c r="C6" s="22">
        <v>43501</v>
      </c>
      <c r="D6" s="6">
        <v>129861.65</v>
      </c>
      <c r="E6" s="6">
        <v>171.630269</v>
      </c>
      <c r="F6" s="6">
        <v>55089.1</v>
      </c>
      <c r="G6" s="6">
        <v>112.78943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2">
        <v>43512</v>
      </c>
      <c r="C7" s="22">
        <v>43508</v>
      </c>
      <c r="D7" s="6">
        <v>108126.65</v>
      </c>
      <c r="E7" s="6">
        <v>151.33188899999999</v>
      </c>
      <c r="F7" s="6">
        <v>27887</v>
      </c>
      <c r="G7" s="6">
        <v>107.65727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2">
        <v>43519</v>
      </c>
      <c r="C8" s="22">
        <v>43515</v>
      </c>
      <c r="D8" s="6">
        <v>84972.59</v>
      </c>
      <c r="E8" s="6">
        <v>163.014703</v>
      </c>
      <c r="F8" s="6">
        <v>38451.699999999997</v>
      </c>
      <c r="G8" s="6">
        <v>97.944469999999995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2">
        <v>43526</v>
      </c>
      <c r="C9" s="22">
        <v>43522</v>
      </c>
      <c r="D9" s="6">
        <v>61241.67</v>
      </c>
      <c r="E9" s="6">
        <v>171.25202300000001</v>
      </c>
      <c r="F9" s="6">
        <v>50118.8</v>
      </c>
      <c r="G9" s="6">
        <v>100.22960999999999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2">
        <v>43533</v>
      </c>
      <c r="C10" s="22">
        <v>43529</v>
      </c>
      <c r="D10" s="6">
        <v>0</v>
      </c>
      <c r="E10" s="6">
        <v>0</v>
      </c>
      <c r="F10" s="6">
        <v>5742.8</v>
      </c>
      <c r="G10" s="6">
        <v>88.470223000000004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2">
        <v>43540</v>
      </c>
      <c r="C11" s="22">
        <v>43536</v>
      </c>
      <c r="D11" s="6">
        <v>0</v>
      </c>
      <c r="E11" s="6">
        <v>0</v>
      </c>
      <c r="F11" s="6">
        <v>14039.6</v>
      </c>
      <c r="G11" s="6">
        <v>90.323029000000005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2">
        <v>43547</v>
      </c>
      <c r="C12" s="22">
        <v>43543</v>
      </c>
      <c r="D12" s="6">
        <v>89387.35</v>
      </c>
      <c r="E12" s="6">
        <v>157.91049899999999</v>
      </c>
      <c r="F12" s="6">
        <v>7018.4</v>
      </c>
      <c r="G12" s="6">
        <v>79.721587999999997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2">
        <v>43554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2">
        <v>43561</v>
      </c>
      <c r="C14" s="22">
        <v>43557</v>
      </c>
      <c r="D14" s="14">
        <v>66987.5</v>
      </c>
      <c r="E14" s="14">
        <v>190.88682800000001</v>
      </c>
      <c r="F14" s="14">
        <v>8229.7999999999993</v>
      </c>
      <c r="G14" s="14">
        <v>88.052758999999995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2">
        <v>43568</v>
      </c>
      <c r="C15" s="22">
        <v>43564</v>
      </c>
      <c r="D15" s="6">
        <v>69022.3</v>
      </c>
      <c r="E15" s="6">
        <v>236.74536599999999</v>
      </c>
      <c r="F15" s="6">
        <v>2682.6</v>
      </c>
      <c r="G15" s="6">
        <v>77.618802000000002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2">
        <v>43575</v>
      </c>
      <c r="C16" s="22">
        <v>43571</v>
      </c>
      <c r="D16" s="14">
        <v>151822.70000000001</v>
      </c>
      <c r="E16" s="14">
        <v>255.05528100000001</v>
      </c>
      <c r="F16" s="14">
        <v>3732</v>
      </c>
      <c r="G16" s="14">
        <v>122.582368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2">
        <v>43582</v>
      </c>
      <c r="C17" s="22">
        <v>43578</v>
      </c>
      <c r="D17" s="10">
        <v>350568.9</v>
      </c>
      <c r="E17" s="10">
        <v>271.24795399999999</v>
      </c>
      <c r="F17" s="10">
        <v>8222.2000000000007</v>
      </c>
      <c r="G17" s="10">
        <v>111.51052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2">
        <v>43589</v>
      </c>
      <c r="C18" s="22">
        <v>43585</v>
      </c>
      <c r="D18" s="10">
        <v>697587.5</v>
      </c>
      <c r="E18" s="10">
        <v>272.63730099999998</v>
      </c>
      <c r="F18" s="10">
        <v>31738.6</v>
      </c>
      <c r="G18" s="10">
        <v>133.976766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2">
        <v>43596</v>
      </c>
      <c r="C19" s="22">
        <v>43592</v>
      </c>
      <c r="D19" s="10">
        <v>556288.78</v>
      </c>
      <c r="E19" s="10">
        <v>265.858046</v>
      </c>
      <c r="F19" s="10">
        <v>24402.6</v>
      </c>
      <c r="G19" s="10">
        <v>135.47194099999999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2">
        <v>43603</v>
      </c>
      <c r="C20" s="22">
        <v>43599</v>
      </c>
      <c r="D20" s="6">
        <v>591023.4</v>
      </c>
      <c r="E20" s="6">
        <v>250.537781</v>
      </c>
      <c r="F20" s="10">
        <v>28921.3</v>
      </c>
      <c r="G20" s="10">
        <v>131.18617699999999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2">
        <v>43610</v>
      </c>
      <c r="C21" s="22">
        <v>43606</v>
      </c>
      <c r="D21" s="10">
        <v>722988.35</v>
      </c>
      <c r="E21" s="10">
        <v>250.50753499999999</v>
      </c>
      <c r="F21" s="10">
        <v>33711.599999999999</v>
      </c>
      <c r="G21" s="10">
        <v>128.974198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2">
        <v>43617</v>
      </c>
      <c r="C22" s="22">
        <v>43613</v>
      </c>
      <c r="D22" s="6">
        <v>666444.9</v>
      </c>
      <c r="E22" s="6">
        <v>246.735276</v>
      </c>
      <c r="F22" s="6">
        <v>30650.799999999999</v>
      </c>
      <c r="G22" s="6">
        <v>131.56282999999999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2">
        <v>43624</v>
      </c>
      <c r="C23" s="22">
        <v>43620</v>
      </c>
      <c r="D23" s="6">
        <v>658664.69999999995</v>
      </c>
      <c r="E23" s="6">
        <v>247.457818</v>
      </c>
      <c r="F23" s="6">
        <v>36694.9</v>
      </c>
      <c r="G23" s="6">
        <v>136.32246699999999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2">
        <v>43631</v>
      </c>
      <c r="C24" s="22">
        <v>43627</v>
      </c>
      <c r="D24" s="6">
        <v>739582</v>
      </c>
      <c r="E24" s="6">
        <v>255.52237400000001</v>
      </c>
      <c r="F24" s="6">
        <v>40145.800000000003</v>
      </c>
      <c r="G24" s="6">
        <v>134.307185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2">
        <v>43638</v>
      </c>
      <c r="C25" s="22">
        <v>43634</v>
      </c>
      <c r="D25" s="6">
        <v>957017.8</v>
      </c>
      <c r="E25" s="6">
        <v>267.89172500000001</v>
      </c>
      <c r="F25" s="6">
        <v>33521.4</v>
      </c>
      <c r="G25" s="6">
        <v>135.47331500000001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2">
        <v>43645</v>
      </c>
      <c r="C26" s="22">
        <v>43641</v>
      </c>
      <c r="D26" s="6">
        <v>996161.5</v>
      </c>
      <c r="E26" s="6">
        <v>266.360232</v>
      </c>
      <c r="F26" s="6">
        <v>50709.3</v>
      </c>
      <c r="G26" s="6">
        <v>138.92496800000001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2">
        <v>43652</v>
      </c>
      <c r="C27" s="22">
        <v>43648</v>
      </c>
      <c r="D27" s="6">
        <v>819759.4</v>
      </c>
      <c r="E27" s="6">
        <v>254.865341</v>
      </c>
      <c r="F27" s="6">
        <v>35672.5</v>
      </c>
      <c r="G27" s="6">
        <v>141.825131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2">
        <v>43659</v>
      </c>
      <c r="C28" s="22">
        <v>43655</v>
      </c>
      <c r="D28" s="6">
        <v>859234.8</v>
      </c>
      <c r="E28" s="6">
        <v>237.36518100000001</v>
      </c>
      <c r="F28" s="6">
        <v>65923</v>
      </c>
      <c r="G28" s="6">
        <v>130.83008599999999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2">
        <v>43666</v>
      </c>
      <c r="C29" s="22">
        <v>43662</v>
      </c>
      <c r="D29" s="6">
        <v>890063.25</v>
      </c>
      <c r="E29" s="6">
        <v>248.568003</v>
      </c>
      <c r="F29" s="6">
        <v>53291</v>
      </c>
      <c r="G29" s="6">
        <v>140.20027200000001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2">
        <v>43673</v>
      </c>
      <c r="C30" s="22">
        <v>43669</v>
      </c>
      <c r="D30" s="6">
        <v>1004044.8</v>
      </c>
      <c r="E30" s="6">
        <v>244.48294799999999</v>
      </c>
      <c r="F30" s="6">
        <v>57474.6</v>
      </c>
      <c r="G30" s="6">
        <v>134.05190400000001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2">
        <v>43680</v>
      </c>
      <c r="C31" s="22">
        <v>43676</v>
      </c>
      <c r="D31" s="6">
        <v>1034747.7</v>
      </c>
      <c r="E31" s="6">
        <v>236.806354</v>
      </c>
      <c r="F31" s="6">
        <v>50461.2</v>
      </c>
      <c r="G31" s="6">
        <v>130.73813100000001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2">
        <v>43687</v>
      </c>
      <c r="C32" s="22">
        <v>43683</v>
      </c>
      <c r="D32" s="6">
        <v>1027451.9</v>
      </c>
      <c r="E32" s="6">
        <v>236.83856</v>
      </c>
      <c r="F32" s="6">
        <v>47658.2</v>
      </c>
      <c r="G32" s="6">
        <v>131.24117100000001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2">
        <v>43694</v>
      </c>
      <c r="C33" s="22">
        <v>43690</v>
      </c>
      <c r="D33" s="6">
        <v>930883.79</v>
      </c>
      <c r="E33" s="6">
        <v>228.78921800000001</v>
      </c>
      <c r="F33" s="6">
        <v>44262.2</v>
      </c>
      <c r="G33" s="6">
        <v>127.81161299999999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2">
        <v>43701</v>
      </c>
      <c r="C34" s="22">
        <v>43697</v>
      </c>
      <c r="D34" s="6">
        <v>1002610.4</v>
      </c>
      <c r="E34" s="6">
        <v>231.050612</v>
      </c>
      <c r="F34" s="6">
        <v>53818.8</v>
      </c>
      <c r="G34" s="6">
        <v>134.77426399999999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2">
        <v>43708</v>
      </c>
      <c r="C35" s="22">
        <v>43704</v>
      </c>
      <c r="D35" s="6">
        <v>1096144.3</v>
      </c>
      <c r="E35" s="6">
        <v>210.89564999999999</v>
      </c>
      <c r="F35" s="6">
        <v>60219.4</v>
      </c>
      <c r="G35" s="6">
        <v>132.48529300000001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2">
        <v>43715</v>
      </c>
      <c r="C36" s="22">
        <v>43711</v>
      </c>
      <c r="D36" s="6">
        <v>1382501.7</v>
      </c>
      <c r="E36" s="6">
        <v>203.87572700000001</v>
      </c>
      <c r="F36" s="6">
        <v>31833.599999999999</v>
      </c>
      <c r="G36" s="6">
        <v>129.54711599999999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2">
        <v>43722</v>
      </c>
      <c r="C37" s="22">
        <v>43719</v>
      </c>
      <c r="D37" s="6">
        <v>1228156.3999999999</v>
      </c>
      <c r="E37" s="6">
        <v>209.04701800000001</v>
      </c>
      <c r="F37" s="6">
        <v>57762.2</v>
      </c>
      <c r="G37" s="6">
        <v>135.609793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2">
        <v>43729</v>
      </c>
      <c r="C38" s="22">
        <v>43725</v>
      </c>
      <c r="D38" s="6">
        <v>1445453.73</v>
      </c>
      <c r="E38" s="6">
        <v>208.229356</v>
      </c>
      <c r="F38" s="6">
        <v>59778.400000000001</v>
      </c>
      <c r="G38" s="6">
        <v>140.51791900000001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2">
        <v>43736</v>
      </c>
      <c r="C39" s="22">
        <v>43732</v>
      </c>
      <c r="D39" s="6">
        <v>1049253.6000000001</v>
      </c>
      <c r="E39" s="6">
        <v>205.266201</v>
      </c>
      <c r="F39" s="6">
        <v>52829.4</v>
      </c>
      <c r="G39" s="6">
        <v>136.639128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2">
        <v>43743</v>
      </c>
      <c r="C40" s="22">
        <v>43738</v>
      </c>
      <c r="D40" s="6">
        <v>1180207.8</v>
      </c>
      <c r="E40" s="6">
        <v>202.13198700000001</v>
      </c>
      <c r="F40" s="6">
        <v>54549.2</v>
      </c>
      <c r="G40" s="6">
        <v>142.74516199999999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2">
        <v>43750</v>
      </c>
      <c r="C41" s="22"/>
      <c r="D41" s="6">
        <v>0</v>
      </c>
      <c r="E41" s="6">
        <v>0</v>
      </c>
      <c r="F41" s="6">
        <v>0</v>
      </c>
      <c r="G41" s="6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2">
        <v>43757</v>
      </c>
      <c r="C42" s="22">
        <v>43753</v>
      </c>
      <c r="D42" s="6">
        <v>912602.42</v>
      </c>
      <c r="E42" s="6">
        <v>210.275959</v>
      </c>
      <c r="F42" s="6">
        <v>45971</v>
      </c>
      <c r="G42" s="6">
        <v>116.435557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2">
        <v>43764</v>
      </c>
      <c r="C43" s="22">
        <v>43760</v>
      </c>
      <c r="D43" s="6">
        <v>1085193.1000000001</v>
      </c>
      <c r="E43" s="6">
        <v>214.910303</v>
      </c>
      <c r="F43" s="6">
        <v>45426.2</v>
      </c>
      <c r="G43" s="6">
        <v>120.159308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2">
        <v>43771</v>
      </c>
      <c r="C44" s="22">
        <v>43768</v>
      </c>
      <c r="D44" s="6">
        <v>1172278.7</v>
      </c>
      <c r="E44" s="6">
        <v>209.97897399999999</v>
      </c>
      <c r="F44" s="6">
        <v>47084.4</v>
      </c>
      <c r="G44" s="6">
        <v>132.04431600000001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2">
        <v>43778</v>
      </c>
      <c r="C45" s="22">
        <v>43775</v>
      </c>
      <c r="D45" s="6">
        <v>758073.9</v>
      </c>
      <c r="E45" s="6">
        <v>206.929552</v>
      </c>
      <c r="F45" s="6">
        <v>43636.2</v>
      </c>
      <c r="G45" s="6">
        <v>135.44009700000001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2">
        <v>43785</v>
      </c>
      <c r="C46" s="22">
        <v>43782</v>
      </c>
      <c r="D46" s="6">
        <v>792085</v>
      </c>
      <c r="E46" s="6">
        <v>199.88951599999999</v>
      </c>
      <c r="F46" s="6">
        <v>44947</v>
      </c>
      <c r="G46" s="6">
        <v>135.15199200000001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2">
        <v>43792</v>
      </c>
      <c r="C47" s="22">
        <v>43788</v>
      </c>
      <c r="D47" s="6">
        <v>865996.9</v>
      </c>
      <c r="E47" s="6">
        <v>207.68596600000001</v>
      </c>
      <c r="F47" s="6">
        <v>51832.2</v>
      </c>
      <c r="G47" s="6">
        <v>134.456963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2">
        <v>43799</v>
      </c>
      <c r="C48" s="22">
        <v>43795</v>
      </c>
      <c r="D48" s="6">
        <v>818025</v>
      </c>
      <c r="E48" s="6">
        <v>198.411969</v>
      </c>
      <c r="F48" s="6">
        <v>40628.800000000003</v>
      </c>
      <c r="G48" s="6">
        <v>128.89482799999999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2">
        <v>43806</v>
      </c>
      <c r="C49" s="22">
        <v>43802</v>
      </c>
      <c r="D49" s="6">
        <v>887323</v>
      </c>
      <c r="E49" s="6">
        <v>202.50286399999999</v>
      </c>
      <c r="F49" s="6">
        <v>57901.1</v>
      </c>
      <c r="G49" s="6">
        <v>127.477609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2">
        <v>43813</v>
      </c>
      <c r="C50" s="22">
        <v>43809</v>
      </c>
      <c r="D50" s="6">
        <v>887407.5</v>
      </c>
      <c r="E50" s="6">
        <v>199.091421</v>
      </c>
      <c r="F50" s="6">
        <v>57293.8</v>
      </c>
      <c r="G50" s="6">
        <v>124.91945200000001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2">
        <v>43820</v>
      </c>
      <c r="C51" s="22">
        <v>43816</v>
      </c>
      <c r="D51" s="6">
        <v>917527.8</v>
      </c>
      <c r="E51" s="6">
        <v>195.05478600000001</v>
      </c>
      <c r="F51" s="6">
        <v>51160.6</v>
      </c>
      <c r="G51" s="6">
        <v>124.474024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2">
        <v>43827</v>
      </c>
      <c r="C52" s="22">
        <v>43823</v>
      </c>
      <c r="D52" s="6">
        <v>890201.1</v>
      </c>
      <c r="E52" s="6">
        <v>183.65543099999999</v>
      </c>
      <c r="F52" s="6">
        <v>53270</v>
      </c>
      <c r="G52" s="6">
        <v>123.671601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19"/>
      <c r="C53" s="16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25">
        <v>43834</v>
      </c>
      <c r="C1" s="25">
        <v>43831</v>
      </c>
      <c r="D1" s="6">
        <v>770950.7</v>
      </c>
      <c r="E1" s="6">
        <v>181.005009</v>
      </c>
      <c r="F1" s="6">
        <v>56437.9</v>
      </c>
      <c r="G1" s="6">
        <v>114.67165300000001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5">
        <v>43841</v>
      </c>
      <c r="C2" s="25">
        <v>43837</v>
      </c>
      <c r="D2" s="6">
        <v>671151.2</v>
      </c>
      <c r="E2" s="6">
        <v>155.977814</v>
      </c>
      <c r="F2" s="6">
        <v>31474.1</v>
      </c>
      <c r="G2" s="6">
        <v>109.24365400000001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5">
        <v>43848</v>
      </c>
      <c r="C3" s="25">
        <v>43844</v>
      </c>
      <c r="D3" s="6">
        <v>674634</v>
      </c>
      <c r="E3" s="6">
        <v>147.642653</v>
      </c>
      <c r="F3" s="6">
        <v>85389.4</v>
      </c>
      <c r="G3" s="6">
        <v>94.406333000000004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5">
        <v>43855</v>
      </c>
      <c r="C4" s="25">
        <v>43851</v>
      </c>
      <c r="D4" s="6">
        <v>777672.2</v>
      </c>
      <c r="E4" s="6">
        <v>135.401882</v>
      </c>
      <c r="F4" s="6">
        <v>76161</v>
      </c>
      <c r="G4" s="6">
        <v>89.118772000000007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5">
        <v>43862</v>
      </c>
      <c r="C5" s="25">
        <v>43858</v>
      </c>
      <c r="D5" s="6">
        <v>861901.33</v>
      </c>
      <c r="E5" s="6">
        <v>138.389996</v>
      </c>
      <c r="F5" s="6">
        <v>78567.899999999994</v>
      </c>
      <c r="G5" s="6">
        <v>77.853492000000003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5">
        <v>43869</v>
      </c>
      <c r="C6" s="25">
        <v>43865</v>
      </c>
      <c r="D6" s="6">
        <v>817835.9</v>
      </c>
      <c r="E6" s="6">
        <v>128.779741</v>
      </c>
      <c r="F6" s="6">
        <v>138408.1</v>
      </c>
      <c r="G6" s="6">
        <v>64.362779000000003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5">
        <v>43876</v>
      </c>
      <c r="C7" s="25">
        <v>43872</v>
      </c>
      <c r="D7" s="6">
        <v>722444.1</v>
      </c>
      <c r="E7" s="6">
        <v>130.553541</v>
      </c>
      <c r="F7" s="6">
        <v>63142.9</v>
      </c>
      <c r="G7" s="6">
        <v>65.611819999999994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5">
        <v>43883</v>
      </c>
      <c r="C8" s="25">
        <v>43879</v>
      </c>
      <c r="D8" s="6">
        <v>842899.6</v>
      </c>
      <c r="E8" s="6">
        <v>137.74697</v>
      </c>
      <c r="F8" s="6">
        <v>35758.199999999997</v>
      </c>
      <c r="G8" s="6">
        <v>61.047362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5">
        <v>43890</v>
      </c>
      <c r="C9" s="25">
        <v>43886</v>
      </c>
      <c r="D9" s="6">
        <v>701697.5</v>
      </c>
      <c r="E9" s="6">
        <v>134.078498</v>
      </c>
      <c r="F9" s="6">
        <v>100808.2</v>
      </c>
      <c r="G9" s="6">
        <v>55.989629000000001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5">
        <v>43897</v>
      </c>
      <c r="C10" s="25">
        <v>43893</v>
      </c>
      <c r="D10" s="6">
        <v>274080.8</v>
      </c>
      <c r="E10" s="6">
        <v>132.45643200000001</v>
      </c>
      <c r="F10" s="6">
        <v>47904.3</v>
      </c>
      <c r="G10" s="6">
        <v>59.511212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5">
        <v>43904</v>
      </c>
      <c r="C11" s="25">
        <v>43901</v>
      </c>
      <c r="D11" s="6">
        <v>0</v>
      </c>
      <c r="E11" s="6">
        <v>0</v>
      </c>
      <c r="F11" s="6">
        <v>47697.599999999999</v>
      </c>
      <c r="G11" s="6">
        <v>55.251869999999997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5">
        <v>43911</v>
      </c>
      <c r="C12" s="25">
        <v>43907</v>
      </c>
      <c r="D12" s="6">
        <v>183829.9</v>
      </c>
      <c r="E12" s="6">
        <v>142.286372</v>
      </c>
      <c r="F12" s="6">
        <v>27450.2</v>
      </c>
      <c r="G12" s="6">
        <v>52.442357000000001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5">
        <v>43918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5">
        <v>43925</v>
      </c>
      <c r="C14" s="22"/>
      <c r="D14" s="6">
        <v>0</v>
      </c>
      <c r="E14" s="6">
        <v>0</v>
      </c>
      <c r="F14" s="6">
        <v>0</v>
      </c>
      <c r="G14" s="6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5">
        <v>43932</v>
      </c>
      <c r="C15" s="22"/>
      <c r="D15" s="6">
        <v>0</v>
      </c>
      <c r="E15" s="6">
        <v>0</v>
      </c>
      <c r="F15" s="6">
        <v>0</v>
      </c>
      <c r="G15" s="6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5">
        <v>43939</v>
      </c>
      <c r="C16" s="22"/>
      <c r="D16" s="6">
        <v>0</v>
      </c>
      <c r="E16" s="6">
        <v>0</v>
      </c>
      <c r="F16" s="6">
        <v>0</v>
      </c>
      <c r="G16" s="6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5">
        <v>43946</v>
      </c>
      <c r="C17" s="22"/>
      <c r="D17" s="6">
        <v>0</v>
      </c>
      <c r="E17" s="6">
        <v>0</v>
      </c>
      <c r="F17" s="6">
        <v>0</v>
      </c>
      <c r="G17" s="6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5">
        <v>43953</v>
      </c>
      <c r="C18" s="22"/>
      <c r="D18" s="6">
        <v>0</v>
      </c>
      <c r="E18" s="6">
        <v>0</v>
      </c>
      <c r="F18" s="6">
        <v>0</v>
      </c>
      <c r="G18" s="6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5">
        <v>43960</v>
      </c>
      <c r="C19" s="22"/>
      <c r="D19" s="6">
        <v>0</v>
      </c>
      <c r="E19" s="6">
        <v>0</v>
      </c>
      <c r="F19" s="6">
        <v>0</v>
      </c>
      <c r="G19" s="6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5">
        <v>43967</v>
      </c>
      <c r="C20" s="25">
        <v>43963</v>
      </c>
      <c r="D20" s="6">
        <v>7403.2</v>
      </c>
      <c r="E20" s="6">
        <v>121.384441</v>
      </c>
      <c r="F20" s="10">
        <v>2361.4</v>
      </c>
      <c r="G20" s="10">
        <v>58.568561000000003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5">
        <v>43974</v>
      </c>
      <c r="C21" s="22"/>
      <c r="D21" s="6">
        <v>0</v>
      </c>
      <c r="E21" s="6">
        <v>0</v>
      </c>
      <c r="F21" s="6">
        <v>0</v>
      </c>
      <c r="G21" s="6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5">
        <v>43981</v>
      </c>
      <c r="C22" s="22"/>
      <c r="D22" s="6">
        <v>0</v>
      </c>
      <c r="E22" s="6">
        <v>0</v>
      </c>
      <c r="F22" s="6">
        <v>0</v>
      </c>
      <c r="G22" s="6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5">
        <v>43988</v>
      </c>
      <c r="C23" s="25">
        <v>43984</v>
      </c>
      <c r="D23" s="6">
        <v>652485.5</v>
      </c>
      <c r="E23" s="6">
        <v>256.32323700000001</v>
      </c>
      <c r="F23" s="6">
        <v>56931</v>
      </c>
      <c r="G23" s="6">
        <v>132.20207199999999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5">
        <v>43995</v>
      </c>
      <c r="C24" s="25">
        <v>43993</v>
      </c>
      <c r="D24" s="6">
        <v>327270.40000000002</v>
      </c>
      <c r="E24" s="6">
        <v>281.718009</v>
      </c>
      <c r="F24" s="6">
        <v>13570.6</v>
      </c>
      <c r="G24" s="6">
        <v>154.86404400000001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5">
        <v>44002</v>
      </c>
      <c r="C25" s="25">
        <v>43999</v>
      </c>
      <c r="D25" s="6">
        <v>419727.5</v>
      </c>
      <c r="E25" s="6">
        <v>306.74955199999999</v>
      </c>
      <c r="F25" s="6">
        <v>14984.4</v>
      </c>
      <c r="G25" s="6">
        <v>178.85159200000001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5">
        <v>44009</v>
      </c>
      <c r="C26" s="25">
        <v>44004</v>
      </c>
      <c r="D26" s="6">
        <v>483750.65</v>
      </c>
      <c r="E26" s="6">
        <v>314.15162199999997</v>
      </c>
      <c r="F26" s="6">
        <v>39983</v>
      </c>
      <c r="G26" s="6">
        <v>145.78430800000001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5">
        <v>44016</v>
      </c>
      <c r="C27" s="25">
        <v>44013</v>
      </c>
      <c r="D27" s="6">
        <v>738786.9</v>
      </c>
      <c r="E27" s="6">
        <v>336.30016999999998</v>
      </c>
      <c r="F27" s="6">
        <v>33752.5</v>
      </c>
      <c r="G27" s="6">
        <v>191.55123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5">
        <v>44023</v>
      </c>
      <c r="C28" s="25">
        <v>44020</v>
      </c>
      <c r="D28" s="6">
        <v>711248.45</v>
      </c>
      <c r="E28" s="6">
        <v>325.83527099999998</v>
      </c>
      <c r="F28" s="6">
        <v>29862.6</v>
      </c>
      <c r="G28" s="6">
        <v>209.91168200000001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5">
        <v>44030</v>
      </c>
      <c r="C29" s="25">
        <v>44027</v>
      </c>
      <c r="D29" s="6">
        <v>862893.4</v>
      </c>
      <c r="E29" s="6">
        <v>317.67885200000001</v>
      </c>
      <c r="F29" s="6">
        <v>41781.199999999997</v>
      </c>
      <c r="G29" s="6">
        <v>208.799814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5">
        <v>44037</v>
      </c>
      <c r="C30" s="25">
        <v>44034</v>
      </c>
      <c r="D30" s="6">
        <v>729115.45</v>
      </c>
      <c r="E30" s="6">
        <v>298.757678</v>
      </c>
      <c r="F30" s="6">
        <v>47137.2</v>
      </c>
      <c r="G30" s="6">
        <v>203.11077800000001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5">
        <v>44044</v>
      </c>
      <c r="C31" s="25">
        <v>44042</v>
      </c>
      <c r="D31" s="6">
        <v>865394.64</v>
      </c>
      <c r="E31" s="6">
        <v>279.14164599999998</v>
      </c>
      <c r="F31" s="6">
        <v>29176</v>
      </c>
      <c r="G31" s="6">
        <v>194.70181299999999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5">
        <v>44051</v>
      </c>
      <c r="C32" s="25">
        <v>44049</v>
      </c>
      <c r="D32" s="6">
        <v>877357.8</v>
      </c>
      <c r="E32" s="6">
        <v>290.19595199999998</v>
      </c>
      <c r="F32" s="6">
        <v>32547.599999999999</v>
      </c>
      <c r="G32" s="6">
        <v>182.36040399999999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5">
        <v>44058</v>
      </c>
      <c r="C33" s="25">
        <v>44055</v>
      </c>
      <c r="D33" s="6">
        <v>1046248.45</v>
      </c>
      <c r="E33" s="6">
        <v>292.41241600000001</v>
      </c>
      <c r="F33" s="6">
        <v>49939.199999999997</v>
      </c>
      <c r="G33" s="6">
        <v>176.784391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5">
        <v>44065</v>
      </c>
      <c r="C34" s="25">
        <v>44061</v>
      </c>
      <c r="D34" s="6">
        <v>1142736.5</v>
      </c>
      <c r="E34" s="6">
        <v>291.85845999999998</v>
      </c>
      <c r="F34" s="6">
        <v>48804.5</v>
      </c>
      <c r="G34" s="6">
        <v>192.65384700000001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5">
        <v>44072</v>
      </c>
      <c r="C35" s="25">
        <v>44068</v>
      </c>
      <c r="D35" s="6">
        <v>997115.4</v>
      </c>
      <c r="E35" s="6">
        <v>287.312679</v>
      </c>
      <c r="F35" s="6">
        <v>45934.7</v>
      </c>
      <c r="G35" s="6">
        <v>191.84241900000001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5">
        <v>44079</v>
      </c>
      <c r="C36" s="25">
        <v>44076</v>
      </c>
      <c r="D36" s="6">
        <v>936613.5</v>
      </c>
      <c r="E36" s="6">
        <v>271.53605700000003</v>
      </c>
      <c r="F36" s="6">
        <v>59789.2</v>
      </c>
      <c r="G36" s="6">
        <v>190.47018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5">
        <v>44086</v>
      </c>
      <c r="C37" s="22"/>
      <c r="D37" s="6">
        <v>0</v>
      </c>
      <c r="E37" s="6">
        <v>0</v>
      </c>
      <c r="F37" s="6">
        <v>0</v>
      </c>
      <c r="G37" s="6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5">
        <v>44093</v>
      </c>
      <c r="C38" s="25">
        <v>44088</v>
      </c>
      <c r="D38" s="6">
        <v>865348.8</v>
      </c>
      <c r="E38" s="6">
        <v>273.05056200000001</v>
      </c>
      <c r="F38" s="6">
        <v>61895.3</v>
      </c>
      <c r="G38" s="6">
        <v>189.13417000000001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5">
        <v>44100</v>
      </c>
      <c r="C39" s="25">
        <v>44096</v>
      </c>
      <c r="D39" s="6">
        <v>970223.1</v>
      </c>
      <c r="E39" s="6">
        <v>279.19321100000002</v>
      </c>
      <c r="F39" s="6">
        <v>58493.599999999999</v>
      </c>
      <c r="G39" s="6">
        <v>183.045895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5">
        <v>44107</v>
      </c>
      <c r="C40" s="25">
        <v>44103</v>
      </c>
      <c r="D40" s="6">
        <v>963954.8</v>
      </c>
      <c r="E40" s="6">
        <v>273.47466100000003</v>
      </c>
      <c r="F40" s="6">
        <v>66683.399999999994</v>
      </c>
      <c r="G40" s="6">
        <v>175.20338100000001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5">
        <v>44114</v>
      </c>
      <c r="C41" s="25">
        <v>44110</v>
      </c>
      <c r="D41" s="6">
        <v>899197.9</v>
      </c>
      <c r="E41" s="6">
        <v>278.48909400000002</v>
      </c>
      <c r="F41" s="6">
        <v>41831.800000000003</v>
      </c>
      <c r="G41" s="6">
        <v>160.720122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5">
        <v>44121</v>
      </c>
      <c r="C42" s="25">
        <v>44117</v>
      </c>
      <c r="D42" s="6">
        <v>762501.3</v>
      </c>
      <c r="E42" s="6">
        <v>262.37431500000002</v>
      </c>
      <c r="F42" s="6">
        <v>41051</v>
      </c>
      <c r="G42" s="6">
        <v>163.34582800000001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5">
        <v>44128</v>
      </c>
      <c r="C43" s="25">
        <v>44124</v>
      </c>
      <c r="D43" s="6">
        <v>504210.5</v>
      </c>
      <c r="E43" s="6">
        <v>240.76021399999999</v>
      </c>
      <c r="F43" s="6">
        <v>26828.799999999999</v>
      </c>
      <c r="G43" s="6">
        <v>164.48028199999999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5">
        <v>44135</v>
      </c>
      <c r="C44" s="22"/>
      <c r="D44" s="6">
        <v>0</v>
      </c>
      <c r="E44" s="6">
        <v>0</v>
      </c>
      <c r="F44" s="6">
        <v>0</v>
      </c>
      <c r="G44" s="6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5">
        <v>44142</v>
      </c>
      <c r="C45" s="25">
        <v>44138</v>
      </c>
      <c r="D45" s="6">
        <v>719178.8</v>
      </c>
      <c r="E45" s="6">
        <v>241.868526</v>
      </c>
      <c r="F45" s="6">
        <v>50803.1</v>
      </c>
      <c r="G45" s="6">
        <v>150.65137899999999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5">
        <v>44149</v>
      </c>
      <c r="C46" s="25">
        <v>44145</v>
      </c>
      <c r="D46" s="6">
        <v>979582.2</v>
      </c>
      <c r="E46" s="6">
        <v>238.349942</v>
      </c>
      <c r="F46" s="6">
        <v>41665.699999999997</v>
      </c>
      <c r="G46" s="6">
        <v>135.91638900000001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5">
        <v>44156</v>
      </c>
      <c r="C47" s="25">
        <v>44153</v>
      </c>
      <c r="D47" s="6">
        <v>1271802</v>
      </c>
      <c r="E47" s="6">
        <v>240.69004200000001</v>
      </c>
      <c r="F47" s="6">
        <v>39233</v>
      </c>
      <c r="G47" s="6">
        <v>126.739163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5">
        <v>44163</v>
      </c>
      <c r="C48" s="25">
        <v>44160</v>
      </c>
      <c r="D48" s="6">
        <v>1170618.8999999999</v>
      </c>
      <c r="E48" s="6">
        <v>236.06460000000001</v>
      </c>
      <c r="F48" s="6">
        <v>35661.699999999997</v>
      </c>
      <c r="G48" s="6">
        <v>125.855208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5">
        <v>44170</v>
      </c>
      <c r="C49" s="25">
        <v>44167</v>
      </c>
      <c r="D49" s="6">
        <v>1328059.7</v>
      </c>
      <c r="E49" s="6">
        <v>227.16799</v>
      </c>
      <c r="F49" s="6">
        <v>46961.8</v>
      </c>
      <c r="G49" s="6">
        <v>114.687737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5">
        <v>44177</v>
      </c>
      <c r="C50" s="25">
        <v>44174</v>
      </c>
      <c r="D50" s="6">
        <v>1230254.76</v>
      </c>
      <c r="E50" s="6">
        <v>226.14790400000001</v>
      </c>
      <c r="F50" s="6">
        <v>64423.3</v>
      </c>
      <c r="G50" s="6">
        <v>117.749576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5">
        <v>44184</v>
      </c>
      <c r="C51" s="25">
        <v>44180</v>
      </c>
      <c r="D51" s="6">
        <v>1145150</v>
      </c>
      <c r="E51" s="6">
        <v>223.40359799999999</v>
      </c>
      <c r="F51" s="6">
        <v>34875.300000000003</v>
      </c>
      <c r="G51" s="6">
        <v>111.30144199999999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5">
        <v>44191</v>
      </c>
      <c r="C52" s="25">
        <v>44187</v>
      </c>
      <c r="D52" s="6">
        <v>1079032</v>
      </c>
      <c r="E52" s="6">
        <v>218.80921699999999</v>
      </c>
      <c r="F52" s="6">
        <v>47624.4</v>
      </c>
      <c r="G52" s="6">
        <v>118.35051900000001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25">
        <v>44198</v>
      </c>
      <c r="C53" s="25">
        <v>44194</v>
      </c>
      <c r="D53" s="6">
        <v>1002284.7</v>
      </c>
      <c r="E53" s="6">
        <v>220.05745099999999</v>
      </c>
      <c r="F53" s="6">
        <v>65262.5</v>
      </c>
      <c r="G53" s="6">
        <v>118.79549299999999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6640625" customWidth="1"/>
    <col min="5" max="7" width="9.1640625" customWidth="1"/>
    <col min="8" max="27" width="8.6640625" customWidth="1"/>
  </cols>
  <sheetData>
    <row r="1" spans="1:27" ht="12.75" customHeight="1" x14ac:dyDescent="0.2">
      <c r="A1" s="4">
        <v>1</v>
      </c>
      <c r="B1" s="25">
        <v>44205</v>
      </c>
      <c r="C1" s="25">
        <v>44201</v>
      </c>
      <c r="D1" s="6">
        <v>944519.1</v>
      </c>
      <c r="E1" s="6">
        <v>215.77967200000001</v>
      </c>
      <c r="F1" s="6">
        <v>91184.3</v>
      </c>
      <c r="G1" s="6">
        <v>110.02552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5">
        <v>44212</v>
      </c>
      <c r="C2" s="25">
        <v>44209</v>
      </c>
      <c r="D2" s="6">
        <v>853948.4</v>
      </c>
      <c r="E2" s="6">
        <v>219.68749800000001</v>
      </c>
      <c r="F2" s="6">
        <v>80532.100000000006</v>
      </c>
      <c r="G2" s="6">
        <v>109.97986299999999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5">
        <v>44219</v>
      </c>
      <c r="C3" s="25">
        <v>44215</v>
      </c>
      <c r="D3" s="6">
        <v>785546.2</v>
      </c>
      <c r="E3" s="6">
        <v>223.22058999999999</v>
      </c>
      <c r="F3" s="6">
        <v>96731.3</v>
      </c>
      <c r="G3" s="6">
        <v>105.041872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5">
        <v>44226</v>
      </c>
      <c r="C4" s="25">
        <v>44223</v>
      </c>
      <c r="D4" s="6">
        <v>581396.1</v>
      </c>
      <c r="E4" s="6">
        <v>211.41207299999999</v>
      </c>
      <c r="F4" s="6">
        <v>59453.8</v>
      </c>
      <c r="G4" s="6">
        <v>99.027277999999995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5">
        <v>44233</v>
      </c>
      <c r="C5" s="25">
        <v>44229</v>
      </c>
      <c r="D5" s="6">
        <v>510274.7</v>
      </c>
      <c r="E5" s="6">
        <v>193.14542499999999</v>
      </c>
      <c r="F5" s="6">
        <v>94250.1</v>
      </c>
      <c r="G5" s="6">
        <v>97.877263999999997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5">
        <v>44240</v>
      </c>
      <c r="C6" s="25">
        <v>44236</v>
      </c>
      <c r="D6" s="6">
        <v>323170.08</v>
      </c>
      <c r="E6" s="6">
        <v>171.44245799999999</v>
      </c>
      <c r="F6" s="6">
        <v>42454.9</v>
      </c>
      <c r="G6" s="6">
        <v>102.228864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5">
        <v>44247</v>
      </c>
      <c r="C7" s="25">
        <v>44244</v>
      </c>
      <c r="D7" s="6">
        <v>169466.1</v>
      </c>
      <c r="E7" s="6">
        <v>211.155587</v>
      </c>
      <c r="F7" s="6">
        <v>12553.4</v>
      </c>
      <c r="G7" s="6">
        <v>110.427931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5">
        <v>44254</v>
      </c>
      <c r="C8" s="25">
        <v>44250</v>
      </c>
      <c r="D8" s="6">
        <v>44560.5</v>
      </c>
      <c r="E8" s="6">
        <v>229.74487199999999</v>
      </c>
      <c r="F8" s="6">
        <v>16986.2</v>
      </c>
      <c r="G8" s="6">
        <v>107.879007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5">
        <v>44261</v>
      </c>
      <c r="C9" s="25">
        <v>44257</v>
      </c>
      <c r="D9" s="6">
        <v>0</v>
      </c>
      <c r="E9" s="6">
        <v>0</v>
      </c>
      <c r="F9" s="6">
        <v>8338.2000000000007</v>
      </c>
      <c r="G9" s="6">
        <v>108.11945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5">
        <v>44268</v>
      </c>
      <c r="C10" s="25">
        <v>44264</v>
      </c>
      <c r="D10" s="6">
        <v>0</v>
      </c>
      <c r="E10" s="6">
        <v>0</v>
      </c>
      <c r="F10" s="6">
        <v>24803.8</v>
      </c>
      <c r="G10" s="6">
        <v>115.353212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5">
        <v>44275</v>
      </c>
      <c r="C11" s="22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5">
        <v>44282</v>
      </c>
      <c r="C12" s="25">
        <v>44278</v>
      </c>
      <c r="D12" s="6">
        <v>50440.7</v>
      </c>
      <c r="E12" s="6">
        <v>196.16676200000001</v>
      </c>
      <c r="F12" s="6">
        <v>24570</v>
      </c>
      <c r="G12" s="6">
        <v>98.075310999999999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5">
        <v>44289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5">
        <v>44296</v>
      </c>
      <c r="C14" s="25">
        <v>44292</v>
      </c>
      <c r="D14" s="6">
        <v>92820</v>
      </c>
      <c r="E14" s="6">
        <v>265.57088800000002</v>
      </c>
      <c r="F14" s="6">
        <v>2856.4</v>
      </c>
      <c r="G14" s="6">
        <v>138.42465999999999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5">
        <v>44303</v>
      </c>
      <c r="C15" s="25">
        <v>44299</v>
      </c>
      <c r="D15" s="6">
        <v>162613.20000000001</v>
      </c>
      <c r="E15" s="6">
        <v>256.06147099999998</v>
      </c>
      <c r="F15" s="6">
        <v>5524.9</v>
      </c>
      <c r="G15" s="6">
        <v>159.155224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5">
        <v>44310</v>
      </c>
      <c r="C16" s="25">
        <v>44306</v>
      </c>
      <c r="D16" s="6">
        <v>361876.1</v>
      </c>
      <c r="E16" s="6">
        <v>253.58187799999999</v>
      </c>
      <c r="F16" s="6">
        <v>7573.2</v>
      </c>
      <c r="G16" s="6">
        <v>135.939761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5">
        <v>44317</v>
      </c>
      <c r="C17" s="25">
        <v>44314</v>
      </c>
      <c r="D17" s="6">
        <v>471786.9</v>
      </c>
      <c r="E17" s="6">
        <v>254.06760700000001</v>
      </c>
      <c r="F17" s="6">
        <v>16263.2</v>
      </c>
      <c r="G17" s="6">
        <v>148.05967999999999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5">
        <v>44324</v>
      </c>
      <c r="C18" s="25">
        <v>44321</v>
      </c>
      <c r="D18" s="6">
        <v>729789.3</v>
      </c>
      <c r="E18" s="6">
        <v>244.62907999999999</v>
      </c>
      <c r="F18" s="6">
        <v>16979</v>
      </c>
      <c r="G18" s="6">
        <v>132.358419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5">
        <v>44331</v>
      </c>
      <c r="C19" s="25">
        <v>44328</v>
      </c>
      <c r="D19" s="6">
        <v>512038.1</v>
      </c>
      <c r="E19" s="6">
        <v>240.796716</v>
      </c>
      <c r="F19" s="6">
        <v>27326</v>
      </c>
      <c r="G19" s="6">
        <v>128.67853299999999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5">
        <v>44338</v>
      </c>
      <c r="C20" s="25">
        <v>44336</v>
      </c>
      <c r="D20" s="6">
        <v>698693.5</v>
      </c>
      <c r="E20" s="6">
        <v>237.496847</v>
      </c>
      <c r="F20" s="10">
        <v>41088.5</v>
      </c>
      <c r="G20" s="10">
        <v>127.547866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5">
        <v>44345</v>
      </c>
      <c r="C21" s="25"/>
      <c r="D21" s="6">
        <v>0</v>
      </c>
      <c r="E21" s="6">
        <v>0</v>
      </c>
      <c r="F21" s="6">
        <v>0</v>
      </c>
      <c r="G21" s="6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5">
        <v>44352</v>
      </c>
      <c r="C22" s="25">
        <v>44349</v>
      </c>
      <c r="D22" s="6">
        <v>735993.2</v>
      </c>
      <c r="E22" s="6">
        <v>248.54942600000001</v>
      </c>
      <c r="F22" s="6">
        <v>40468.699999999997</v>
      </c>
      <c r="G22" s="6">
        <v>132.79498899999999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5">
        <v>44359</v>
      </c>
      <c r="C23" s="25">
        <v>44355</v>
      </c>
      <c r="D23" s="6">
        <v>1065716.8</v>
      </c>
      <c r="E23" s="6">
        <v>244.150893</v>
      </c>
      <c r="F23" s="6">
        <v>57968.2</v>
      </c>
      <c r="G23" s="6">
        <v>136.63862599999999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5">
        <v>44366</v>
      </c>
      <c r="C24" s="25">
        <v>44363</v>
      </c>
      <c r="D24" s="6">
        <v>426094.4</v>
      </c>
      <c r="E24" s="6">
        <v>260.50886300000002</v>
      </c>
      <c r="F24" s="6">
        <v>24123.4</v>
      </c>
      <c r="G24" s="6">
        <v>138.26976199999999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5">
        <v>44373</v>
      </c>
      <c r="C25" s="25">
        <v>44368</v>
      </c>
      <c r="D25" s="6">
        <v>467559.3</v>
      </c>
      <c r="E25" s="6">
        <v>277.66814299999999</v>
      </c>
      <c r="F25" s="6">
        <v>24350.400000000001</v>
      </c>
      <c r="G25" s="6">
        <v>138.630289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5">
        <v>44380</v>
      </c>
      <c r="C26" s="25">
        <v>44377</v>
      </c>
      <c r="D26" s="6">
        <v>539363.19999999995</v>
      </c>
      <c r="E26" s="6">
        <v>283.14934299999999</v>
      </c>
      <c r="F26" s="6">
        <v>30184.799999999999</v>
      </c>
      <c r="G26" s="6">
        <v>138.85763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5">
        <v>44387</v>
      </c>
      <c r="C27" s="25">
        <v>44384</v>
      </c>
      <c r="D27" s="6">
        <v>547873.1</v>
      </c>
      <c r="E27" s="6">
        <v>265.55825399999998</v>
      </c>
      <c r="F27" s="6">
        <v>33659.4</v>
      </c>
      <c r="G27" s="6">
        <v>136.60017099999999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5">
        <v>44394</v>
      </c>
      <c r="C28" s="25">
        <v>44392</v>
      </c>
      <c r="D28" s="6">
        <v>679011.65</v>
      </c>
      <c r="E28" s="6">
        <v>260.57487500000002</v>
      </c>
      <c r="F28" s="6">
        <v>31607.3</v>
      </c>
      <c r="G28" s="6">
        <v>133.33470399999999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5">
        <v>44401</v>
      </c>
      <c r="C29" s="25">
        <v>44401</v>
      </c>
      <c r="D29" s="6">
        <v>868533.9</v>
      </c>
      <c r="E29" s="6">
        <v>254.34090900000001</v>
      </c>
      <c r="F29" s="6">
        <v>39063</v>
      </c>
      <c r="G29" s="6">
        <v>129.529777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5">
        <v>44408</v>
      </c>
      <c r="C30" s="25"/>
      <c r="D30" s="6">
        <v>1048685.95</v>
      </c>
      <c r="E30" s="6">
        <v>240.84898699999999</v>
      </c>
      <c r="F30" s="6">
        <v>17319.8</v>
      </c>
      <c r="G30" s="6">
        <v>124.532685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5">
        <v>44415</v>
      </c>
      <c r="C31" s="25">
        <v>44415</v>
      </c>
      <c r="D31" s="6">
        <v>1263893.3500000001</v>
      </c>
      <c r="E31" s="6">
        <v>240.85722699999999</v>
      </c>
      <c r="F31" s="6">
        <v>47470.400000000001</v>
      </c>
      <c r="G31" s="6">
        <v>115.574682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5">
        <v>44421</v>
      </c>
      <c r="C32" s="25">
        <v>44419</v>
      </c>
      <c r="D32" s="6">
        <v>1177832.6000000001</v>
      </c>
      <c r="E32" s="6">
        <v>239.85533000000001</v>
      </c>
      <c r="F32" s="6">
        <v>45206.5</v>
      </c>
      <c r="G32" s="6">
        <v>119.670503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5">
        <v>44427</v>
      </c>
      <c r="C33" s="25">
        <v>44425</v>
      </c>
      <c r="D33" s="6">
        <v>1439088.4</v>
      </c>
      <c r="E33" s="6">
        <v>237.35512399999999</v>
      </c>
      <c r="F33" s="6">
        <v>43929.4</v>
      </c>
      <c r="G33" s="6">
        <v>119.105287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5">
        <v>44436</v>
      </c>
      <c r="C34" s="25">
        <v>44432</v>
      </c>
      <c r="D34" s="6">
        <v>1229983.55</v>
      </c>
      <c r="E34" s="6">
        <v>236.27865800000001</v>
      </c>
      <c r="F34" s="6">
        <v>86870.7</v>
      </c>
      <c r="G34" s="6">
        <v>114.122162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5">
        <v>44443</v>
      </c>
      <c r="C35" s="25">
        <v>44440</v>
      </c>
      <c r="D35" s="6">
        <v>1171615.8799999999</v>
      </c>
      <c r="E35" s="6">
        <v>240.391278</v>
      </c>
      <c r="F35" s="6">
        <v>49722.8</v>
      </c>
      <c r="G35" s="6">
        <v>113.346975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5">
        <v>44450</v>
      </c>
      <c r="C36" s="25">
        <v>44448</v>
      </c>
      <c r="D36" s="6">
        <v>1292621.6000000001</v>
      </c>
      <c r="E36" s="6">
        <v>247.016558</v>
      </c>
      <c r="F36" s="6">
        <v>49923.9</v>
      </c>
      <c r="G36" s="6">
        <v>111.89228199999999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5">
        <v>44457</v>
      </c>
      <c r="C37" s="25">
        <v>44455</v>
      </c>
      <c r="D37" s="6">
        <v>1162388.3999999999</v>
      </c>
      <c r="E37" s="6">
        <v>241.51849799999999</v>
      </c>
      <c r="F37" s="6">
        <v>49147.5</v>
      </c>
      <c r="G37" s="6">
        <v>109.441806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5">
        <v>44464</v>
      </c>
      <c r="C38" s="25">
        <v>44460</v>
      </c>
      <c r="D38" s="6">
        <v>1444844.1</v>
      </c>
      <c r="E38" s="6">
        <v>246.62953400000001</v>
      </c>
      <c r="F38" s="6">
        <v>52755.4</v>
      </c>
      <c r="G38" s="6">
        <v>107.012224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5">
        <v>44471</v>
      </c>
      <c r="C39" s="25">
        <v>44467</v>
      </c>
      <c r="D39" s="6">
        <v>1373386.7</v>
      </c>
      <c r="E39" s="6">
        <v>239.784581</v>
      </c>
      <c r="F39" s="6">
        <v>52657.599999999999</v>
      </c>
      <c r="G39" s="6">
        <v>106.18026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5">
        <v>44478</v>
      </c>
      <c r="C40" s="25">
        <v>44474</v>
      </c>
      <c r="D40" s="6">
        <v>1363576.3</v>
      </c>
      <c r="E40" s="6">
        <v>237.78382300000001</v>
      </c>
      <c r="F40" s="6">
        <v>62751.3</v>
      </c>
      <c r="G40" s="6">
        <v>105.524511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5">
        <v>44485</v>
      </c>
      <c r="C41" s="25"/>
      <c r="D41" s="6">
        <v>0</v>
      </c>
      <c r="E41" s="6">
        <v>0</v>
      </c>
      <c r="F41" s="6">
        <v>0</v>
      </c>
      <c r="G41" s="6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5">
        <v>44492</v>
      </c>
      <c r="C42" s="25">
        <v>44488</v>
      </c>
      <c r="D42" s="6">
        <v>1324206</v>
      </c>
      <c r="E42" s="6">
        <v>230.67147800000001</v>
      </c>
      <c r="F42" s="6">
        <v>60289</v>
      </c>
      <c r="G42" s="6">
        <v>104.50051499999999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5">
        <v>44499</v>
      </c>
      <c r="C43" s="25">
        <v>44495</v>
      </c>
      <c r="D43" s="6">
        <v>1200104.2</v>
      </c>
      <c r="E43" s="6">
        <v>220.223533</v>
      </c>
      <c r="F43" s="6">
        <v>93670.2</v>
      </c>
      <c r="G43" s="6">
        <v>100.274981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5">
        <v>44506</v>
      </c>
      <c r="C44" s="25">
        <v>44502</v>
      </c>
      <c r="D44" s="6">
        <v>1212471.6499999999</v>
      </c>
      <c r="E44" s="6">
        <v>218.88676599999999</v>
      </c>
      <c r="F44" s="6">
        <v>74815.100000000006</v>
      </c>
      <c r="G44" s="6">
        <v>101.53827699999999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5">
        <v>44513</v>
      </c>
      <c r="C45" s="25">
        <v>44510</v>
      </c>
      <c r="D45" s="6">
        <v>1583700.5</v>
      </c>
      <c r="E45" s="6">
        <v>215.47255200000001</v>
      </c>
      <c r="F45" s="6">
        <v>82303.8</v>
      </c>
      <c r="G45" s="6">
        <v>98.890531999999993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5">
        <v>44520</v>
      </c>
      <c r="C46" s="25">
        <v>44516</v>
      </c>
      <c r="D46" s="6">
        <v>1405963.1</v>
      </c>
      <c r="E46" s="6">
        <v>213.32069100000001</v>
      </c>
      <c r="F46" s="6">
        <v>64227.1</v>
      </c>
      <c r="G46" s="6">
        <v>100.72657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5">
        <v>44527</v>
      </c>
      <c r="C47" s="25">
        <v>44523</v>
      </c>
      <c r="D47" s="6">
        <v>1189013.76</v>
      </c>
      <c r="E47" s="6">
        <v>212.56641500000001</v>
      </c>
      <c r="F47" s="6">
        <v>60471.6</v>
      </c>
      <c r="G47" s="6">
        <v>99.995474999999999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5">
        <v>44534</v>
      </c>
      <c r="C48" s="25">
        <v>44530</v>
      </c>
      <c r="D48" s="6">
        <v>1232923.8999999999</v>
      </c>
      <c r="E48" s="6">
        <v>207.044881</v>
      </c>
      <c r="F48" s="6">
        <v>85254.6</v>
      </c>
      <c r="G48" s="6">
        <v>98.274809000000005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5">
        <v>44541</v>
      </c>
      <c r="C49" s="25">
        <v>44537</v>
      </c>
      <c r="D49" s="6">
        <v>1109867.3999999999</v>
      </c>
      <c r="E49" s="6">
        <v>219.50484</v>
      </c>
      <c r="F49" s="6">
        <v>77136.800000000003</v>
      </c>
      <c r="G49" s="6">
        <v>100.518126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5">
        <v>44548</v>
      </c>
      <c r="C50" s="25">
        <v>44544</v>
      </c>
      <c r="D50" s="6">
        <v>1186762.8</v>
      </c>
      <c r="E50" s="6">
        <v>198.46677099999999</v>
      </c>
      <c r="F50" s="6">
        <v>82132</v>
      </c>
      <c r="G50" s="6">
        <v>103.088562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5">
        <v>44555</v>
      </c>
      <c r="C51" s="25">
        <v>44551</v>
      </c>
      <c r="D51" s="6">
        <v>977225.3</v>
      </c>
      <c r="E51" s="6">
        <v>195.12114399999999</v>
      </c>
      <c r="F51" s="6">
        <v>57939.4</v>
      </c>
      <c r="G51" s="6">
        <v>100.94383000000001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5">
        <v>44555</v>
      </c>
      <c r="C52" s="25">
        <v>44558</v>
      </c>
      <c r="D52" s="6">
        <v>880957.97</v>
      </c>
      <c r="E52" s="6">
        <v>186.262495</v>
      </c>
      <c r="F52" s="6">
        <v>75528.399999999994</v>
      </c>
      <c r="G52" s="6">
        <v>101.741326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25"/>
      <c r="C53" s="25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5" customWidth="1"/>
    <col min="5" max="7" width="9.5" customWidth="1"/>
    <col min="8" max="27" width="8.6640625" customWidth="1"/>
  </cols>
  <sheetData>
    <row r="1" spans="1:27" ht="12.75" customHeight="1" x14ac:dyDescent="0.2">
      <c r="A1" s="4">
        <v>1</v>
      </c>
      <c r="B1" s="25">
        <v>44569</v>
      </c>
      <c r="C1" s="25">
        <v>44565</v>
      </c>
      <c r="D1" s="6">
        <v>673338.9</v>
      </c>
      <c r="E1" s="6">
        <v>184.05167499999999</v>
      </c>
      <c r="F1" s="6">
        <v>69909.100000000006</v>
      </c>
      <c r="G1" s="6">
        <v>102.664843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5">
        <v>44576</v>
      </c>
      <c r="C2" s="25">
        <v>44572</v>
      </c>
      <c r="D2" s="6">
        <v>541604.5</v>
      </c>
      <c r="E2" s="6">
        <v>175.48020500000001</v>
      </c>
      <c r="F2" s="6">
        <v>64000.6</v>
      </c>
      <c r="G2" s="6">
        <v>96.623653000000004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5">
        <v>44583</v>
      </c>
      <c r="C3" s="25">
        <v>44579</v>
      </c>
      <c r="D3" s="6">
        <v>482395.8</v>
      </c>
      <c r="E3" s="6">
        <v>166.777152</v>
      </c>
      <c r="F3" s="6">
        <v>71438.2</v>
      </c>
      <c r="G3" s="6">
        <v>97.577558999999994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5">
        <v>44590</v>
      </c>
      <c r="C4" s="25">
        <v>44593</v>
      </c>
      <c r="D4" s="6">
        <v>472582.3</v>
      </c>
      <c r="E4" s="6">
        <v>164.51508699999999</v>
      </c>
      <c r="F4" s="6">
        <v>84934.3</v>
      </c>
      <c r="G4" s="6">
        <v>85.803019000000006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5">
        <v>44604</v>
      </c>
      <c r="C5" s="25">
        <v>44600</v>
      </c>
      <c r="D5" s="6">
        <v>161875.20000000001</v>
      </c>
      <c r="E5" s="6">
        <v>152.03389000000001</v>
      </c>
      <c r="F5" s="6">
        <v>27424.9</v>
      </c>
      <c r="G5" s="6">
        <v>93.988309000000001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5">
        <v>44611</v>
      </c>
      <c r="C6" s="25"/>
      <c r="D6" s="6">
        <v>0</v>
      </c>
      <c r="E6" s="6">
        <v>0</v>
      </c>
      <c r="F6" s="6">
        <v>0</v>
      </c>
      <c r="G6" s="6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5">
        <v>44611</v>
      </c>
      <c r="C7" s="25"/>
      <c r="D7" s="6">
        <v>0</v>
      </c>
      <c r="E7" s="6">
        <v>0</v>
      </c>
      <c r="F7" s="6">
        <v>0</v>
      </c>
      <c r="G7" s="6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5">
        <v>44618</v>
      </c>
      <c r="C8" s="25">
        <v>44615</v>
      </c>
      <c r="D8" s="6">
        <v>186776</v>
      </c>
      <c r="E8" s="6">
        <v>167.61869799999999</v>
      </c>
      <c r="F8" s="6">
        <v>6440.6</v>
      </c>
      <c r="G8" s="6">
        <v>77.776977000000002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5">
        <v>44625</v>
      </c>
      <c r="C9" s="22"/>
      <c r="D9" s="6">
        <v>0</v>
      </c>
      <c r="E9" s="6">
        <v>0</v>
      </c>
      <c r="F9" s="6">
        <v>0</v>
      </c>
      <c r="G9" s="6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5">
        <v>44632</v>
      </c>
      <c r="C10" s="25"/>
      <c r="D10" s="6">
        <v>0</v>
      </c>
      <c r="E10" s="6">
        <v>0</v>
      </c>
      <c r="F10" s="6">
        <v>0</v>
      </c>
      <c r="G10" s="6"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5">
        <v>44639</v>
      </c>
      <c r="C11" s="22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5">
        <v>44646</v>
      </c>
      <c r="C12" s="25">
        <v>44643</v>
      </c>
      <c r="D12" s="6">
        <v>85242.6</v>
      </c>
      <c r="E12" s="6">
        <v>172.98746199999999</v>
      </c>
      <c r="F12" s="6">
        <v>2598.1999999999998</v>
      </c>
      <c r="G12" s="6">
        <v>63.633515000000003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5">
        <v>44653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5">
        <v>44660</v>
      </c>
      <c r="C14" s="25">
        <v>44657</v>
      </c>
      <c r="D14" s="6">
        <v>117153.7</v>
      </c>
      <c r="E14" s="6">
        <v>188.367895</v>
      </c>
      <c r="F14" s="6">
        <v>557.20000000000005</v>
      </c>
      <c r="G14" s="6">
        <v>175.924982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5">
        <v>44667</v>
      </c>
      <c r="C15" s="25">
        <v>44663</v>
      </c>
      <c r="D15" s="6">
        <v>137132.70000000001</v>
      </c>
      <c r="E15" s="6">
        <v>229.81975399999999</v>
      </c>
      <c r="F15" s="6">
        <v>3380</v>
      </c>
      <c r="G15" s="6">
        <v>157.401242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5">
        <v>44674</v>
      </c>
      <c r="C16" s="25">
        <v>44671</v>
      </c>
      <c r="D16" s="6">
        <v>452567.3</v>
      </c>
      <c r="E16" s="6">
        <v>267.73640699999999</v>
      </c>
      <c r="F16" s="6">
        <v>9506.9</v>
      </c>
      <c r="G16" s="6">
        <v>154.39707999999999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5">
        <v>44681</v>
      </c>
      <c r="C17" s="25">
        <v>44678</v>
      </c>
      <c r="D17" s="6">
        <v>436425.5</v>
      </c>
      <c r="E17" s="6">
        <v>280.13638300000002</v>
      </c>
      <c r="F17" s="6">
        <v>15933.4</v>
      </c>
      <c r="G17" s="6">
        <v>157.37918999999999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5">
        <v>44688</v>
      </c>
      <c r="C18" s="25">
        <v>44685</v>
      </c>
      <c r="D18" s="6">
        <v>671278.2</v>
      </c>
      <c r="E18" s="6">
        <v>272.08072299999998</v>
      </c>
      <c r="F18" s="6">
        <v>29113.200000000001</v>
      </c>
      <c r="G18" s="6">
        <v>166.507082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5">
        <v>44695</v>
      </c>
      <c r="C19" s="25">
        <v>44691</v>
      </c>
      <c r="D19" s="6">
        <v>386547</v>
      </c>
      <c r="E19" s="6">
        <v>265.85109299999999</v>
      </c>
      <c r="F19" s="6">
        <v>24803.4</v>
      </c>
      <c r="G19" s="6">
        <v>157.36463499999999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5">
        <v>44702</v>
      </c>
      <c r="C20" s="25">
        <v>44699</v>
      </c>
      <c r="D20" s="6">
        <v>627314.18000000005</v>
      </c>
      <c r="E20" s="6">
        <v>259.35677199999998</v>
      </c>
      <c r="F20" s="10">
        <v>43283.3</v>
      </c>
      <c r="G20" s="10">
        <v>148.339158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5">
        <v>44709</v>
      </c>
      <c r="C21" s="25">
        <v>44706</v>
      </c>
      <c r="D21" s="6">
        <v>453557.2</v>
      </c>
      <c r="E21" s="6">
        <v>261.48863999999998</v>
      </c>
      <c r="F21" s="6">
        <v>26635.7</v>
      </c>
      <c r="G21" s="6">
        <v>149.501631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5">
        <v>44716</v>
      </c>
      <c r="C22" s="25">
        <v>44712</v>
      </c>
      <c r="D22" s="6">
        <v>519344</v>
      </c>
      <c r="E22" s="6">
        <v>270.09034400000002</v>
      </c>
      <c r="F22" s="6">
        <v>31787.3</v>
      </c>
      <c r="G22" s="6">
        <v>143.27641199999999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5">
        <v>44723</v>
      </c>
      <c r="C23" s="25">
        <v>44719</v>
      </c>
      <c r="D23" s="6">
        <v>487196.7</v>
      </c>
      <c r="E23" s="6">
        <v>314.31925200000001</v>
      </c>
      <c r="F23" s="6">
        <v>30273</v>
      </c>
      <c r="G23" s="6">
        <v>146.98470499999999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5">
        <v>44730</v>
      </c>
      <c r="C24" s="25">
        <v>44726</v>
      </c>
      <c r="D24" s="6">
        <v>729764.35</v>
      </c>
      <c r="E24" s="6">
        <v>367.16040199999998</v>
      </c>
      <c r="F24" s="6">
        <v>31538.400000000001</v>
      </c>
      <c r="G24" s="6">
        <v>157.28989999999999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5">
        <v>44737</v>
      </c>
      <c r="C25" s="25">
        <v>44732</v>
      </c>
      <c r="D25" s="16">
        <v>711508.4</v>
      </c>
      <c r="E25" s="16">
        <v>375.16197099999999</v>
      </c>
      <c r="F25" s="16">
        <v>39768.5</v>
      </c>
      <c r="G25" s="16">
        <v>166.65331599999999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5">
        <v>44744</v>
      </c>
      <c r="C26" s="25">
        <v>44740</v>
      </c>
      <c r="D26" s="16">
        <v>865675.05</v>
      </c>
      <c r="E26" s="16">
        <v>387.82618200000002</v>
      </c>
      <c r="F26" s="16">
        <v>30040.3</v>
      </c>
      <c r="G26" s="16">
        <v>163.56250700000001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5">
        <v>44751</v>
      </c>
      <c r="C27" s="25">
        <v>44747</v>
      </c>
      <c r="D27" s="16">
        <v>976426.85</v>
      </c>
      <c r="E27" s="16">
        <v>366.85051299999998</v>
      </c>
      <c r="F27" s="16">
        <v>37442.800000000003</v>
      </c>
      <c r="G27" s="16">
        <v>163.051064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5">
        <v>44758</v>
      </c>
      <c r="C28" s="25">
        <v>44754</v>
      </c>
      <c r="D28" s="16">
        <v>936034.4</v>
      </c>
      <c r="E28" s="16">
        <v>356.76356199999998</v>
      </c>
      <c r="F28" s="16">
        <v>38485.699999999997</v>
      </c>
      <c r="G28" s="16">
        <v>159.272277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5">
        <v>44765</v>
      </c>
      <c r="C29" s="25">
        <v>44761</v>
      </c>
      <c r="D29" s="16">
        <v>1253502.7</v>
      </c>
      <c r="E29" s="16">
        <v>348.87787700000001</v>
      </c>
      <c r="F29" s="16">
        <v>63296.7</v>
      </c>
      <c r="G29" s="16">
        <v>154.741221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5">
        <v>44772</v>
      </c>
      <c r="C30" s="25">
        <v>44768</v>
      </c>
      <c r="D30" s="16">
        <v>1293169.6499999999</v>
      </c>
      <c r="E30" s="16">
        <v>348.84040199999998</v>
      </c>
      <c r="F30" s="16">
        <v>54156.4</v>
      </c>
      <c r="G30" s="16">
        <v>146.438468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5">
        <v>44779</v>
      </c>
      <c r="C31" s="25">
        <v>44775</v>
      </c>
      <c r="D31" s="16">
        <v>1309292.8700000001</v>
      </c>
      <c r="E31" s="16">
        <v>357.62293399999999</v>
      </c>
      <c r="F31" s="16">
        <v>46761.2</v>
      </c>
      <c r="G31" s="16">
        <v>145.80435900000001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5">
        <v>44786</v>
      </c>
      <c r="C32" s="25">
        <v>44783</v>
      </c>
      <c r="D32" s="16">
        <v>1260148.8</v>
      </c>
      <c r="E32" s="16">
        <v>356.429981</v>
      </c>
      <c r="F32" s="16">
        <v>57518.2</v>
      </c>
      <c r="G32" s="16">
        <v>126.896811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5">
        <v>44793</v>
      </c>
      <c r="C33" s="25">
        <v>44790</v>
      </c>
      <c r="D33" s="16">
        <v>1354064.07</v>
      </c>
      <c r="E33" s="16">
        <v>346.32192800000001</v>
      </c>
      <c r="F33" s="16">
        <v>58704.6</v>
      </c>
      <c r="G33" s="16">
        <v>138.58852200000001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5">
        <v>44800</v>
      </c>
      <c r="C34" s="25">
        <v>44797</v>
      </c>
      <c r="D34" s="16">
        <v>1205934.3</v>
      </c>
      <c r="E34" s="16">
        <v>336.62796800000001</v>
      </c>
      <c r="F34" s="16">
        <v>52942.7</v>
      </c>
      <c r="G34" s="16">
        <v>136.37352200000001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5">
        <v>44807</v>
      </c>
      <c r="C35" s="25">
        <v>44803</v>
      </c>
      <c r="D35" s="16">
        <v>1310219.3500000001</v>
      </c>
      <c r="E35" s="16">
        <v>316.37687099999999</v>
      </c>
      <c r="F35" s="16">
        <v>55603.3</v>
      </c>
      <c r="G35" s="16">
        <v>141.53269299999999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5">
        <v>44814</v>
      </c>
      <c r="C36" s="25">
        <v>44810</v>
      </c>
      <c r="D36" s="16">
        <v>1558602.4</v>
      </c>
      <c r="E36" s="16">
        <v>303.69331199999999</v>
      </c>
      <c r="F36" s="16">
        <v>72331.199999999997</v>
      </c>
      <c r="G36" s="16">
        <v>139.81176500000001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5">
        <v>44821</v>
      </c>
      <c r="C37" s="25">
        <v>44817</v>
      </c>
      <c r="D37" s="16">
        <v>1432299.05</v>
      </c>
      <c r="E37" s="16">
        <v>286.28684700000002</v>
      </c>
      <c r="F37" s="16">
        <v>50622.9</v>
      </c>
      <c r="G37" s="16">
        <v>125.638246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5">
        <v>44828</v>
      </c>
      <c r="C38" s="25">
        <v>44824</v>
      </c>
      <c r="D38" s="16">
        <v>1522297.11</v>
      </c>
      <c r="E38" s="16">
        <v>277.46095300000002</v>
      </c>
      <c r="F38" s="16">
        <v>76542.5</v>
      </c>
      <c r="G38" s="16">
        <v>129.60820699999999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5">
        <v>44835</v>
      </c>
      <c r="C39" s="25">
        <v>44831</v>
      </c>
      <c r="D39" s="16">
        <v>1581264.25</v>
      </c>
      <c r="E39" s="16">
        <v>271.74285900000001</v>
      </c>
      <c r="F39" s="16">
        <v>73237.8</v>
      </c>
      <c r="G39" s="16">
        <v>123.799087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5">
        <v>44842</v>
      </c>
      <c r="C40" s="25"/>
      <c r="D40" s="6">
        <v>0</v>
      </c>
      <c r="E40" s="6">
        <v>0</v>
      </c>
      <c r="F40" s="6">
        <v>0</v>
      </c>
      <c r="G40" s="6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5">
        <v>44849</v>
      </c>
      <c r="C41" s="25">
        <v>44845</v>
      </c>
      <c r="D41" s="16">
        <v>1336704.58</v>
      </c>
      <c r="E41" s="16">
        <v>274.18578200000002</v>
      </c>
      <c r="F41" s="16">
        <v>53502.6</v>
      </c>
      <c r="G41" s="16">
        <v>128.92011600000001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5">
        <v>44856</v>
      </c>
      <c r="C42" s="25">
        <v>44852</v>
      </c>
      <c r="D42" s="16">
        <v>1336778.7</v>
      </c>
      <c r="E42" s="16">
        <v>270.44752199999999</v>
      </c>
      <c r="F42" s="16">
        <v>57566.3</v>
      </c>
      <c r="G42" s="16">
        <v>133.74250900000001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5">
        <v>44863</v>
      </c>
      <c r="C43" s="25">
        <v>44862</v>
      </c>
      <c r="D43" s="16">
        <v>1332967.6000000001</v>
      </c>
      <c r="E43" s="16">
        <v>289.13802800000002</v>
      </c>
      <c r="F43" s="16">
        <v>46611.9</v>
      </c>
      <c r="G43" s="16">
        <v>139.76181800000001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5">
        <v>44870</v>
      </c>
      <c r="C44" s="25">
        <v>44867</v>
      </c>
      <c r="D44" s="16">
        <v>1256832.05</v>
      </c>
      <c r="E44" s="16">
        <v>291.966275</v>
      </c>
      <c r="F44" s="16">
        <v>44962.400000000001</v>
      </c>
      <c r="G44" s="16">
        <v>155.04537999999999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5">
        <v>44877</v>
      </c>
      <c r="C45" s="25">
        <v>44874</v>
      </c>
      <c r="D45" s="16">
        <v>1491022.45</v>
      </c>
      <c r="E45" s="16">
        <v>296.39479599999999</v>
      </c>
      <c r="F45" s="16">
        <v>52714.5</v>
      </c>
      <c r="G45" s="16">
        <v>155.539073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5">
        <v>44884</v>
      </c>
      <c r="C46" s="25">
        <v>44881</v>
      </c>
      <c r="D46" s="16">
        <v>1667410.1</v>
      </c>
      <c r="E46" s="16">
        <v>288.91550899999999</v>
      </c>
      <c r="F46" s="16">
        <v>54919</v>
      </c>
      <c r="G46" s="16">
        <v>160.595651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5">
        <v>44891</v>
      </c>
      <c r="C47" s="25">
        <v>44887</v>
      </c>
      <c r="D47" s="16">
        <v>1426194.8</v>
      </c>
      <c r="E47" s="16">
        <v>273.97501299999999</v>
      </c>
      <c r="F47" s="16">
        <v>56929.1</v>
      </c>
      <c r="G47" s="16">
        <v>136.86048700000001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5">
        <v>44898</v>
      </c>
      <c r="C48" s="25">
        <v>44894</v>
      </c>
      <c r="D48" s="16">
        <v>1254075.55</v>
      </c>
      <c r="E48" s="16">
        <v>262.21176300000002</v>
      </c>
      <c r="F48" s="16">
        <v>65310.3</v>
      </c>
      <c r="G48" s="16">
        <v>132.97330700000001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5">
        <v>44905</v>
      </c>
      <c r="C49" s="25">
        <v>44902</v>
      </c>
      <c r="D49" s="16">
        <v>1229399.28</v>
      </c>
      <c r="E49" s="16">
        <v>247.16028499999999</v>
      </c>
      <c r="F49" s="16">
        <v>52920.1</v>
      </c>
      <c r="G49" s="16">
        <v>127.99724399999999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5">
        <v>44912</v>
      </c>
      <c r="C50" s="25">
        <v>44908</v>
      </c>
      <c r="D50" s="16">
        <v>1173024.6000000001</v>
      </c>
      <c r="E50" s="16">
        <v>233.85070300000001</v>
      </c>
      <c r="F50" s="16">
        <v>72568.2</v>
      </c>
      <c r="G50" s="16">
        <v>120.800331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5">
        <v>44919</v>
      </c>
      <c r="C51" s="25">
        <v>44915</v>
      </c>
      <c r="D51" s="16">
        <v>1072358.2</v>
      </c>
      <c r="E51" s="16">
        <v>215.77596500000001</v>
      </c>
      <c r="F51" s="16">
        <v>71072.800000000003</v>
      </c>
      <c r="G51" s="16">
        <v>117.773792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5">
        <v>44926</v>
      </c>
      <c r="C52" s="25">
        <v>44922</v>
      </c>
      <c r="D52" s="16">
        <v>1180827.98</v>
      </c>
      <c r="E52" s="16">
        <v>203.402759</v>
      </c>
      <c r="F52" s="16">
        <v>89888.2</v>
      </c>
      <c r="G52" s="16">
        <v>120.63464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25"/>
      <c r="C53" s="25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00"/>
  <sheetViews>
    <sheetView workbookViewId="0"/>
  </sheetViews>
  <sheetFormatPr baseColWidth="10" defaultColWidth="12.6640625" defaultRowHeight="15" customHeight="1" x14ac:dyDescent="0.2"/>
  <cols>
    <col min="1" max="1" width="10.83203125" customWidth="1"/>
    <col min="2" max="2" width="10.1640625" customWidth="1"/>
    <col min="3" max="3" width="12.1640625" customWidth="1"/>
    <col min="4" max="4" width="10.5" customWidth="1"/>
    <col min="5" max="7" width="9.5" customWidth="1"/>
    <col min="8" max="27" width="8.6640625" customWidth="1"/>
  </cols>
  <sheetData>
    <row r="1" spans="1:27" ht="12.75" customHeight="1" x14ac:dyDescent="0.2">
      <c r="A1" s="4">
        <v>1</v>
      </c>
      <c r="B1" s="25">
        <v>44933</v>
      </c>
      <c r="C1" s="25">
        <v>44929</v>
      </c>
      <c r="D1" s="16">
        <v>1031548.5</v>
      </c>
      <c r="E1" s="16">
        <v>188.253232</v>
      </c>
      <c r="F1" s="16">
        <v>74803.8</v>
      </c>
      <c r="G1" s="16">
        <v>109.211556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5">
        <v>44940</v>
      </c>
      <c r="C2" s="25">
        <v>44936</v>
      </c>
      <c r="D2" s="16">
        <v>1128108.8</v>
      </c>
      <c r="E2" s="16">
        <v>188.51496599999999</v>
      </c>
      <c r="F2" s="16">
        <v>77941.8</v>
      </c>
      <c r="G2" s="16">
        <v>111.470574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5">
        <v>44947</v>
      </c>
      <c r="C3" s="25">
        <v>44943</v>
      </c>
      <c r="D3" s="16">
        <v>1021786.68</v>
      </c>
      <c r="E3" s="16">
        <v>183.22357500000001</v>
      </c>
      <c r="F3" s="16">
        <v>66612.800000000003</v>
      </c>
      <c r="G3" s="16">
        <v>118.513949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5">
        <v>44954</v>
      </c>
      <c r="C4" s="25">
        <v>44951</v>
      </c>
      <c r="D4" s="16">
        <v>952555.1</v>
      </c>
      <c r="E4" s="16">
        <v>179.14460700000001</v>
      </c>
      <c r="F4" s="16">
        <v>85750.2</v>
      </c>
      <c r="G4" s="16">
        <v>113.746872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5">
        <v>44961</v>
      </c>
      <c r="C5" s="25">
        <v>44958</v>
      </c>
      <c r="D5" s="16">
        <v>690490.05</v>
      </c>
      <c r="E5" s="16">
        <v>167.05808400000001</v>
      </c>
      <c r="F5" s="16">
        <v>68495.199999999997</v>
      </c>
      <c r="G5" s="16">
        <v>104.626254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5">
        <v>44968</v>
      </c>
      <c r="C6" s="25">
        <v>44964</v>
      </c>
      <c r="D6" s="16">
        <v>434358.2</v>
      </c>
      <c r="E6" s="16">
        <v>153.50394800000001</v>
      </c>
      <c r="F6" s="16">
        <v>61606</v>
      </c>
      <c r="G6" s="16">
        <v>95.011346000000003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5">
        <v>44975</v>
      </c>
      <c r="C7" s="25">
        <v>44971</v>
      </c>
      <c r="D7" s="16">
        <v>325367.43</v>
      </c>
      <c r="E7" s="16">
        <v>167.19270299999999</v>
      </c>
      <c r="F7" s="16">
        <v>38302.699999999997</v>
      </c>
      <c r="G7" s="16">
        <v>100.615517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5">
        <v>44617</v>
      </c>
      <c r="C8" s="25"/>
      <c r="D8" s="6">
        <v>0</v>
      </c>
      <c r="E8" s="6">
        <v>0</v>
      </c>
      <c r="F8" s="6">
        <v>0</v>
      </c>
      <c r="G8" s="6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5">
        <v>44989</v>
      </c>
      <c r="C9" s="26">
        <v>44986</v>
      </c>
      <c r="D9" s="16">
        <v>4772.2</v>
      </c>
      <c r="E9" s="16">
        <v>212.60789500000001</v>
      </c>
      <c r="F9" s="16">
        <v>3356.6</v>
      </c>
      <c r="G9" s="16">
        <v>172.66448099999999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5">
        <v>44996</v>
      </c>
      <c r="C10" s="25">
        <v>44994</v>
      </c>
      <c r="D10" s="16">
        <v>279816.90000000002</v>
      </c>
      <c r="E10" s="16">
        <v>164.608011</v>
      </c>
      <c r="F10" s="16">
        <v>31694.6</v>
      </c>
      <c r="G10" s="16">
        <v>103.279044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5">
        <v>45003</v>
      </c>
      <c r="C11" s="22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5">
        <v>45010</v>
      </c>
      <c r="C12" s="25">
        <v>45007</v>
      </c>
      <c r="D12" s="16">
        <v>34756.199999999997</v>
      </c>
      <c r="E12" s="16">
        <v>211.390186</v>
      </c>
      <c r="F12" s="6">
        <v>0</v>
      </c>
      <c r="G12" s="6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5">
        <v>45017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5">
        <v>45024</v>
      </c>
      <c r="C14" s="25">
        <v>45021</v>
      </c>
      <c r="D14" s="16">
        <v>83399.899999999994</v>
      </c>
      <c r="E14" s="16">
        <v>245.65303599999999</v>
      </c>
      <c r="F14" s="16">
        <v>2790.2</v>
      </c>
      <c r="G14" s="16">
        <v>134.99935400000001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5">
        <v>45031</v>
      </c>
      <c r="C15" s="25">
        <v>45027</v>
      </c>
      <c r="D15" s="16">
        <v>244981.9</v>
      </c>
      <c r="E15" s="16">
        <v>256.52738699999998</v>
      </c>
      <c r="F15" s="16">
        <v>16069.4</v>
      </c>
      <c r="G15" s="16">
        <v>144.85967099999999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5">
        <v>45038</v>
      </c>
      <c r="C16" s="25">
        <v>45034</v>
      </c>
      <c r="D16" s="16">
        <v>742486.4</v>
      </c>
      <c r="E16" s="16">
        <v>245.28300899999999</v>
      </c>
      <c r="F16" s="16">
        <v>27721.8</v>
      </c>
      <c r="G16" s="16">
        <v>138.72169099999999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5">
        <v>45045</v>
      </c>
      <c r="C17" s="25" t="s">
        <v>7</v>
      </c>
      <c r="D17" s="16">
        <v>975944.8</v>
      </c>
      <c r="E17" s="16">
        <v>234.460252</v>
      </c>
      <c r="F17" s="16">
        <v>45275.7</v>
      </c>
      <c r="G17" s="16">
        <v>129.55327399999999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5">
        <v>45052</v>
      </c>
      <c r="C18" s="25">
        <v>45049</v>
      </c>
      <c r="D18" s="16">
        <v>848220.75</v>
      </c>
      <c r="E18" s="16">
        <v>223.91684000000001</v>
      </c>
      <c r="F18" s="16">
        <v>44645</v>
      </c>
      <c r="G18" s="16">
        <v>129.077381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5">
        <v>45059</v>
      </c>
      <c r="C19" s="25">
        <v>45056</v>
      </c>
      <c r="D19" s="16">
        <v>816940.63</v>
      </c>
      <c r="E19" s="16">
        <v>210.07770500000001</v>
      </c>
      <c r="F19" s="16">
        <v>59423.8</v>
      </c>
      <c r="G19" s="16">
        <v>122.342478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5">
        <v>45066</v>
      </c>
      <c r="C20" s="25">
        <v>45062</v>
      </c>
      <c r="D20" s="16">
        <v>911362.2</v>
      </c>
      <c r="E20" s="16">
        <v>197.26582200000001</v>
      </c>
      <c r="F20" s="16">
        <v>43398.3</v>
      </c>
      <c r="G20" s="16">
        <v>118.82091200000001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5">
        <v>45073</v>
      </c>
      <c r="C21" s="25">
        <v>45069</v>
      </c>
      <c r="D21" s="16">
        <v>960739.05</v>
      </c>
      <c r="E21" s="16">
        <v>206.427953</v>
      </c>
      <c r="F21" s="16">
        <v>45566.8</v>
      </c>
      <c r="G21" s="16">
        <v>117.912519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5">
        <v>45080</v>
      </c>
      <c r="C22" s="25">
        <v>45076</v>
      </c>
      <c r="D22" s="16">
        <v>905462.4</v>
      </c>
      <c r="E22" s="16">
        <v>214.23418799999999</v>
      </c>
      <c r="F22" s="16">
        <v>32600.7</v>
      </c>
      <c r="G22" s="16">
        <v>117.04860600000001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5">
        <v>45087</v>
      </c>
      <c r="C23" s="25">
        <v>45083</v>
      </c>
      <c r="D23" s="16">
        <v>1172903.1000000001</v>
      </c>
      <c r="E23" s="16">
        <v>223.66830300000001</v>
      </c>
      <c r="F23" s="16">
        <v>40422.699999999997</v>
      </c>
      <c r="G23" s="16">
        <v>125.09036999999999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5">
        <v>45094</v>
      </c>
      <c r="C24" s="25">
        <v>45090</v>
      </c>
      <c r="D24" s="16">
        <v>1281399.1000000001</v>
      </c>
      <c r="E24" s="16">
        <v>233.38918000000001</v>
      </c>
      <c r="F24" s="16">
        <v>46015</v>
      </c>
      <c r="G24" s="16">
        <v>123.945948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5">
        <v>45101</v>
      </c>
      <c r="C25" s="25">
        <v>45096</v>
      </c>
      <c r="D25" s="16">
        <v>1179498.55</v>
      </c>
      <c r="E25" s="16">
        <v>231.242963</v>
      </c>
      <c r="F25" s="16">
        <v>62353.599999999999</v>
      </c>
      <c r="G25" s="16">
        <v>121.908717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5">
        <v>45108</v>
      </c>
      <c r="C26" s="25">
        <v>45103</v>
      </c>
      <c r="D26" s="16">
        <v>1051144.8500000001</v>
      </c>
      <c r="E26" s="16">
        <v>227.25017800000001</v>
      </c>
      <c r="F26" s="16">
        <v>53763</v>
      </c>
      <c r="G26" s="16">
        <v>121.408556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5">
        <v>45115</v>
      </c>
      <c r="C27" s="25">
        <v>45110</v>
      </c>
      <c r="D27" s="16">
        <v>988205.59</v>
      </c>
      <c r="E27" s="16">
        <v>223.787657</v>
      </c>
      <c r="F27" s="16">
        <v>79793.5</v>
      </c>
      <c r="G27" s="16">
        <v>117.62927999999999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5">
        <v>45122</v>
      </c>
      <c r="C28" s="25">
        <v>45118</v>
      </c>
      <c r="D28" s="16">
        <v>958307.9</v>
      </c>
      <c r="E28" s="16">
        <v>226.12170699999999</v>
      </c>
      <c r="F28" s="16">
        <v>61911</v>
      </c>
      <c r="G28" s="16">
        <v>116.76266200000001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5">
        <v>45129</v>
      </c>
      <c r="C29" s="25">
        <v>45125</v>
      </c>
      <c r="D29" s="16">
        <v>903342.35</v>
      </c>
      <c r="E29" s="16">
        <v>225.77189100000001</v>
      </c>
      <c r="F29" s="16">
        <v>51885.9</v>
      </c>
      <c r="G29" s="16">
        <v>113.618189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5">
        <v>45136</v>
      </c>
      <c r="C30" s="25">
        <v>45132</v>
      </c>
      <c r="D30" s="16">
        <v>853071.69</v>
      </c>
      <c r="E30" s="16">
        <v>227.315395</v>
      </c>
      <c r="F30" s="16">
        <v>44385.5</v>
      </c>
      <c r="G30" s="16">
        <v>103.22425699999999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5">
        <v>45143</v>
      </c>
      <c r="C31" s="25">
        <v>45139</v>
      </c>
      <c r="D31" s="16">
        <v>904807.1</v>
      </c>
      <c r="E31" s="16">
        <v>223.517966</v>
      </c>
      <c r="F31" s="16">
        <v>67324.5</v>
      </c>
      <c r="G31" s="16">
        <v>111.26214899999999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5">
        <v>45150</v>
      </c>
      <c r="C32" s="25">
        <v>45146</v>
      </c>
      <c r="D32" s="16">
        <v>1004824.25</v>
      </c>
      <c r="E32" s="16">
        <v>226.95765599999999</v>
      </c>
      <c r="F32" s="16">
        <v>82806.8</v>
      </c>
      <c r="G32" s="16">
        <v>115.534255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5">
        <v>45157</v>
      </c>
      <c r="C33" s="25">
        <v>45154</v>
      </c>
      <c r="D33" s="16">
        <v>1047807.77</v>
      </c>
      <c r="E33" s="16">
        <v>224.05257900000001</v>
      </c>
      <c r="F33" s="16">
        <v>71710.100000000006</v>
      </c>
      <c r="G33" s="16">
        <v>113.715441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5">
        <v>45164</v>
      </c>
      <c r="C34" s="25">
        <v>45160</v>
      </c>
      <c r="D34" s="16">
        <v>1003688.88</v>
      </c>
      <c r="E34" s="16">
        <v>220.23344499999999</v>
      </c>
      <c r="F34" s="16">
        <v>59528.6</v>
      </c>
      <c r="G34" s="16">
        <v>111.036419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5">
        <v>45171</v>
      </c>
      <c r="C35" s="25">
        <v>45167</v>
      </c>
      <c r="D35" s="16">
        <v>1106515.95</v>
      </c>
      <c r="E35" s="16">
        <v>228.38476199999999</v>
      </c>
      <c r="F35" s="16">
        <v>52842</v>
      </c>
      <c r="G35" s="16">
        <v>105.607917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5">
        <v>45178</v>
      </c>
      <c r="C36" s="25">
        <v>45174</v>
      </c>
      <c r="D36" s="16">
        <v>1147340.3</v>
      </c>
      <c r="E36" s="16">
        <v>232.15179900000001</v>
      </c>
      <c r="F36" s="16">
        <v>55709</v>
      </c>
      <c r="G36" s="16">
        <v>104.076863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5">
        <v>45185</v>
      </c>
      <c r="C37" s="25">
        <v>45181</v>
      </c>
      <c r="D37" s="16">
        <v>1045864.9</v>
      </c>
      <c r="E37" s="16">
        <v>234.02352999999999</v>
      </c>
      <c r="F37" s="16">
        <v>50703.6</v>
      </c>
      <c r="G37" s="16">
        <v>104.885625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5">
        <v>45192</v>
      </c>
      <c r="C38" s="25">
        <v>45189</v>
      </c>
      <c r="D38" s="16">
        <v>1181306.31</v>
      </c>
      <c r="E38" s="16">
        <v>236.34689399999999</v>
      </c>
      <c r="F38" s="16">
        <v>50806.7</v>
      </c>
      <c r="G38" s="16">
        <v>100.03464700000001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5" t="s">
        <v>8</v>
      </c>
      <c r="C39" s="25">
        <v>45195</v>
      </c>
      <c r="D39" s="16">
        <v>1328445.3</v>
      </c>
      <c r="E39" s="16">
        <v>231.996903</v>
      </c>
      <c r="F39" s="16">
        <v>59505.2</v>
      </c>
      <c r="G39" s="16">
        <v>103.168469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5">
        <v>45206</v>
      </c>
      <c r="C40" s="25">
        <v>45203</v>
      </c>
      <c r="D40" s="16">
        <v>1028459.4</v>
      </c>
      <c r="E40" s="16">
        <v>224.214325</v>
      </c>
      <c r="F40" s="16">
        <v>68008.2</v>
      </c>
      <c r="G40" s="16">
        <v>98.158910000000006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5">
        <v>45213</v>
      </c>
      <c r="C41" s="25">
        <v>45209</v>
      </c>
      <c r="D41" s="16">
        <v>1070115.3500000001</v>
      </c>
      <c r="E41" s="16">
        <v>221.46603899999999</v>
      </c>
      <c r="F41" s="16">
        <v>70858.7</v>
      </c>
      <c r="G41" s="16">
        <v>101.149936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5">
        <v>45220</v>
      </c>
      <c r="C42" s="25" t="s">
        <v>9</v>
      </c>
      <c r="D42" s="16">
        <v>1138488.53</v>
      </c>
      <c r="E42" s="16">
        <v>221.53909899999999</v>
      </c>
      <c r="F42" s="16">
        <v>41257.199999999997</v>
      </c>
      <c r="G42" s="16">
        <v>102.04261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5">
        <v>45227</v>
      </c>
      <c r="C43" s="25"/>
      <c r="D43" s="6">
        <v>0</v>
      </c>
      <c r="E43" s="6">
        <v>0</v>
      </c>
      <c r="F43" s="6">
        <v>0</v>
      </c>
      <c r="G43" s="6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5">
        <v>45234</v>
      </c>
      <c r="C44" s="25">
        <v>45230</v>
      </c>
      <c r="D44" s="16">
        <v>1301946.1599999999</v>
      </c>
      <c r="E44" s="16">
        <v>224.090878</v>
      </c>
      <c r="F44" s="6">
        <v>0</v>
      </c>
      <c r="G44" s="6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5">
        <v>45241</v>
      </c>
      <c r="C45" s="25">
        <v>45237</v>
      </c>
      <c r="D45" s="16">
        <v>1313023.6000000001</v>
      </c>
      <c r="E45" s="16">
        <v>225.15868800000001</v>
      </c>
      <c r="F45" s="16">
        <v>54199.8</v>
      </c>
      <c r="G45" s="16">
        <v>95.800297999999998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5">
        <v>45248</v>
      </c>
      <c r="C46" s="25">
        <v>45246</v>
      </c>
      <c r="D46" s="16">
        <v>1415194.45</v>
      </c>
      <c r="E46" s="16">
        <v>226.83801</v>
      </c>
      <c r="F46" s="16">
        <v>46014.400000000001</v>
      </c>
      <c r="G46" s="16">
        <v>99.457060999999996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5">
        <v>45255</v>
      </c>
      <c r="C47" s="25">
        <v>45252</v>
      </c>
      <c r="D47" s="16">
        <v>1315055.42</v>
      </c>
      <c r="E47" s="16">
        <v>226.56926899999999</v>
      </c>
      <c r="F47" s="16">
        <v>64060</v>
      </c>
      <c r="G47" s="16">
        <v>111.17788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5">
        <v>45262</v>
      </c>
      <c r="C48" s="25">
        <v>45289</v>
      </c>
      <c r="D48" s="16">
        <v>1183673.7</v>
      </c>
      <c r="E48" s="16">
        <v>232.105616</v>
      </c>
      <c r="F48" s="16">
        <v>65986.5</v>
      </c>
      <c r="G48" s="16">
        <v>101.157871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5">
        <v>45269</v>
      </c>
      <c r="C49" s="25">
        <v>45265</v>
      </c>
      <c r="D49" s="16">
        <v>1178470.25</v>
      </c>
      <c r="E49" s="16">
        <v>221.90808000000001</v>
      </c>
      <c r="F49" s="16">
        <v>40697.800000000003</v>
      </c>
      <c r="G49" s="16">
        <v>99.501525000000001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5">
        <v>45276</v>
      </c>
      <c r="C50" s="25">
        <v>45272</v>
      </c>
      <c r="D50" s="16">
        <v>1013993.57</v>
      </c>
      <c r="E50" s="16">
        <v>219.949693</v>
      </c>
      <c r="F50" s="16">
        <v>50657</v>
      </c>
      <c r="G50" s="16">
        <v>97.987290000000002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5">
        <v>45283</v>
      </c>
      <c r="C51" s="25">
        <v>45279</v>
      </c>
      <c r="D51" s="16">
        <v>991621.7</v>
      </c>
      <c r="E51" s="16">
        <v>196.67201399999999</v>
      </c>
      <c r="F51" s="16">
        <v>45186</v>
      </c>
      <c r="G51" s="16">
        <v>99.560114999999996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5">
        <v>45290</v>
      </c>
      <c r="C52" s="25">
        <v>45287</v>
      </c>
      <c r="D52" s="16">
        <v>766466.8</v>
      </c>
      <c r="E52" s="16">
        <v>193.75330299999999</v>
      </c>
      <c r="F52" s="16">
        <v>62867.7</v>
      </c>
      <c r="G52" s="16">
        <v>98.286850999999999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25"/>
      <c r="C53" s="25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00"/>
  <sheetViews>
    <sheetView workbookViewId="0"/>
  </sheetViews>
  <sheetFormatPr baseColWidth="10" defaultColWidth="12.6640625" defaultRowHeight="15" customHeight="1" x14ac:dyDescent="0.2"/>
  <cols>
    <col min="1" max="2" width="10.83203125" customWidth="1"/>
    <col min="3" max="3" width="11.5" customWidth="1"/>
    <col min="4" max="4" width="10.1640625" customWidth="1"/>
    <col min="5" max="5" width="11" customWidth="1"/>
    <col min="6" max="6" width="10.1640625" customWidth="1"/>
    <col min="7" max="7" width="9.5" customWidth="1"/>
    <col min="8" max="27" width="8.6640625" customWidth="1"/>
  </cols>
  <sheetData>
    <row r="1" spans="1:27" ht="12.75" customHeight="1" x14ac:dyDescent="0.2">
      <c r="A1" s="4">
        <v>1</v>
      </c>
      <c r="B1" s="25">
        <v>45297</v>
      </c>
      <c r="C1" s="25">
        <v>45294</v>
      </c>
      <c r="D1" s="16">
        <v>751503.9</v>
      </c>
      <c r="E1" s="16">
        <v>179.039267</v>
      </c>
      <c r="F1" s="16">
        <v>45303.9</v>
      </c>
      <c r="G1" s="16">
        <v>100.022285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customHeight="1" x14ac:dyDescent="0.2">
      <c r="A2" s="4">
        <v>2</v>
      </c>
      <c r="B2" s="25">
        <v>45304</v>
      </c>
      <c r="C2" s="25">
        <v>45300</v>
      </c>
      <c r="D2" s="16">
        <v>699852.2</v>
      </c>
      <c r="E2" s="16">
        <v>172.69147000000001</v>
      </c>
      <c r="F2" s="16">
        <v>57949.5</v>
      </c>
      <c r="G2" s="16">
        <v>96.743497000000005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">
      <c r="A3" s="4">
        <v>3</v>
      </c>
      <c r="B3" s="25">
        <v>45311</v>
      </c>
      <c r="C3" s="25">
        <v>45307</v>
      </c>
      <c r="D3" s="16">
        <v>654178.5</v>
      </c>
      <c r="E3" s="16">
        <v>181.29056800000001</v>
      </c>
      <c r="F3" s="16">
        <v>85790.9</v>
      </c>
      <c r="G3" s="16">
        <v>94.374943999999999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">
      <c r="A4" s="4">
        <v>4</v>
      </c>
      <c r="B4" s="25">
        <v>45318</v>
      </c>
      <c r="C4" s="25">
        <v>45315</v>
      </c>
      <c r="D4" s="16">
        <v>529707.6</v>
      </c>
      <c r="E4" s="16">
        <v>181.16197700000001</v>
      </c>
      <c r="F4" s="16">
        <v>100968.9</v>
      </c>
      <c r="G4" s="16">
        <v>87.401746000000003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">
      <c r="A5" s="4">
        <v>5</v>
      </c>
      <c r="B5" s="25">
        <v>45325</v>
      </c>
      <c r="C5" s="25">
        <v>45322</v>
      </c>
      <c r="D5" s="16">
        <v>336493.3</v>
      </c>
      <c r="E5" s="16">
        <v>173.55958100000001</v>
      </c>
      <c r="F5" s="16">
        <v>42275.1</v>
      </c>
      <c r="G5" s="16">
        <v>89.267008000000004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">
      <c r="A6" s="4">
        <v>6</v>
      </c>
      <c r="B6" s="25">
        <v>45332</v>
      </c>
      <c r="C6" s="25">
        <v>45328</v>
      </c>
      <c r="D6" s="16">
        <v>303687.90000000002</v>
      </c>
      <c r="E6" s="16">
        <v>154.07978499999999</v>
      </c>
      <c r="F6" s="16">
        <v>38555.800000000003</v>
      </c>
      <c r="G6" s="16">
        <v>83.839567000000002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">
      <c r="A7" s="4">
        <v>7</v>
      </c>
      <c r="B7" s="25">
        <v>45339</v>
      </c>
      <c r="C7" s="25">
        <v>45335</v>
      </c>
      <c r="D7" s="16">
        <v>98437.8</v>
      </c>
      <c r="E7" s="16">
        <v>159.069547</v>
      </c>
      <c r="F7" s="16">
        <v>51848.1</v>
      </c>
      <c r="G7" s="16">
        <v>76.632486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customHeight="1" x14ac:dyDescent="0.2">
      <c r="A8" s="4">
        <v>8</v>
      </c>
      <c r="B8" s="25">
        <v>45346</v>
      </c>
      <c r="C8" s="25">
        <v>45342</v>
      </c>
      <c r="D8" s="16">
        <v>65432.6</v>
      </c>
      <c r="E8" s="16">
        <v>178.82607400000001</v>
      </c>
      <c r="F8" s="16">
        <v>28109.599999999999</v>
      </c>
      <c r="G8" s="16">
        <v>71.442919000000003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">
      <c r="A9" s="4">
        <v>9</v>
      </c>
      <c r="B9" s="25">
        <v>45353</v>
      </c>
      <c r="C9" s="26"/>
      <c r="D9" s="6">
        <v>0</v>
      </c>
      <c r="E9" s="6">
        <v>0</v>
      </c>
      <c r="F9" s="6">
        <v>0</v>
      </c>
      <c r="G9" s="6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customHeight="1" x14ac:dyDescent="0.2">
      <c r="A10" s="4">
        <v>10</v>
      </c>
      <c r="B10" s="25">
        <v>45360</v>
      </c>
      <c r="C10" s="25">
        <v>45356</v>
      </c>
      <c r="D10" s="16">
        <v>5607.1</v>
      </c>
      <c r="E10" s="16">
        <v>69.490182000000004</v>
      </c>
      <c r="F10" s="16">
        <v>0</v>
      </c>
      <c r="G10" s="16"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customHeight="1" x14ac:dyDescent="0.2">
      <c r="A11" s="4">
        <v>11</v>
      </c>
      <c r="B11" s="25">
        <v>45367</v>
      </c>
      <c r="C11" s="22"/>
      <c r="D11" s="6">
        <v>0</v>
      </c>
      <c r="E11" s="6">
        <v>0</v>
      </c>
      <c r="F11" s="6">
        <v>0</v>
      </c>
      <c r="G11" s="6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customHeight="1" x14ac:dyDescent="0.2">
      <c r="A12" s="4">
        <v>12</v>
      </c>
      <c r="B12" s="25">
        <v>45374</v>
      </c>
      <c r="C12" s="25">
        <v>45370</v>
      </c>
      <c r="D12" s="16">
        <v>55900.6</v>
      </c>
      <c r="E12" s="16">
        <v>190.16211200000001</v>
      </c>
      <c r="F12" s="16">
        <v>11119.3</v>
      </c>
      <c r="G12" s="16">
        <v>70.117857999999998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4">
        <v>13</v>
      </c>
      <c r="B13" s="25">
        <v>45381</v>
      </c>
      <c r="C13" s="22"/>
      <c r="D13" s="6">
        <v>0</v>
      </c>
      <c r="E13" s="6">
        <v>0</v>
      </c>
      <c r="F13" s="6">
        <v>0</v>
      </c>
      <c r="G13" s="6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customHeight="1" x14ac:dyDescent="0.2">
      <c r="A14" s="4">
        <v>14</v>
      </c>
      <c r="B14" s="25">
        <v>45388</v>
      </c>
      <c r="C14" s="25">
        <v>45385</v>
      </c>
      <c r="D14" s="16">
        <v>54385</v>
      </c>
      <c r="E14" s="16">
        <v>251.11861300000001</v>
      </c>
      <c r="F14" s="16">
        <v>2989.6</v>
      </c>
      <c r="G14" s="16">
        <v>63.179420999999998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customHeight="1" x14ac:dyDescent="0.2">
      <c r="A15" s="4">
        <v>15</v>
      </c>
      <c r="B15" s="25">
        <v>45395</v>
      </c>
      <c r="C15" s="25">
        <v>45392</v>
      </c>
      <c r="D15" s="16">
        <v>89386.1</v>
      </c>
      <c r="E15" s="16">
        <v>291.88320099999999</v>
      </c>
      <c r="F15" s="16">
        <v>3026.8</v>
      </c>
      <c r="G15" s="16">
        <v>123.859587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4">
        <v>16</v>
      </c>
      <c r="B16" s="25">
        <v>45402</v>
      </c>
      <c r="C16" s="25">
        <v>45398</v>
      </c>
      <c r="D16" s="16">
        <v>228438.7</v>
      </c>
      <c r="E16" s="16">
        <v>318.62143099999997</v>
      </c>
      <c r="F16" s="16">
        <v>6155.4</v>
      </c>
      <c r="G16" s="16">
        <v>141.986515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customHeight="1" x14ac:dyDescent="0.2">
      <c r="A17" s="4">
        <v>17</v>
      </c>
      <c r="B17" s="25">
        <v>45409</v>
      </c>
      <c r="C17" s="25">
        <v>45405</v>
      </c>
      <c r="D17" s="16">
        <v>431098.3</v>
      </c>
      <c r="E17" s="16">
        <v>308.28090600000002</v>
      </c>
      <c r="F17" s="16">
        <v>14994.8</v>
      </c>
      <c r="G17" s="16">
        <v>136.58617599999999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4">
        <v>18</v>
      </c>
      <c r="B18" s="25">
        <v>45416</v>
      </c>
      <c r="C18" s="25">
        <v>45412</v>
      </c>
      <c r="D18" s="16">
        <v>676853.3</v>
      </c>
      <c r="E18" s="16">
        <v>299.863496</v>
      </c>
      <c r="F18" s="16">
        <v>36585.9</v>
      </c>
      <c r="G18" s="16">
        <v>129.36493200000001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customHeight="1" x14ac:dyDescent="0.2">
      <c r="A19" s="4">
        <v>19</v>
      </c>
      <c r="B19" s="25">
        <v>45423</v>
      </c>
      <c r="C19" s="25">
        <v>45419</v>
      </c>
      <c r="D19" s="16">
        <v>685802</v>
      </c>
      <c r="E19" s="16">
        <v>292.148507</v>
      </c>
      <c r="F19" s="16">
        <v>31172.3</v>
      </c>
      <c r="G19" s="16">
        <v>131.32018400000001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customHeight="1" x14ac:dyDescent="0.2">
      <c r="A20" s="4">
        <v>20</v>
      </c>
      <c r="B20" s="25">
        <v>45430</v>
      </c>
      <c r="C20" s="25">
        <v>45426</v>
      </c>
      <c r="D20" s="16">
        <v>744235.85</v>
      </c>
      <c r="E20" s="16">
        <v>287.61361099999999</v>
      </c>
      <c r="F20" s="16">
        <v>48217.3</v>
      </c>
      <c r="G20" s="16">
        <v>126.457549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customHeight="1" x14ac:dyDescent="0.2">
      <c r="A21" s="4">
        <v>21</v>
      </c>
      <c r="B21" s="25">
        <v>45437</v>
      </c>
      <c r="C21" s="25">
        <v>45433</v>
      </c>
      <c r="D21" s="16">
        <v>797065.19</v>
      </c>
      <c r="E21" s="16">
        <v>280.49546800000002</v>
      </c>
      <c r="F21" s="16">
        <v>37986.300000000003</v>
      </c>
      <c r="G21" s="16">
        <v>126.461645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customHeight="1" x14ac:dyDescent="0.2">
      <c r="A22" s="4">
        <v>22</v>
      </c>
      <c r="B22" s="25">
        <v>45444</v>
      </c>
      <c r="C22" s="25">
        <v>45440</v>
      </c>
      <c r="D22" s="16">
        <v>623786.19999999995</v>
      </c>
      <c r="E22" s="16">
        <v>280.08171399999998</v>
      </c>
      <c r="F22" s="16">
        <v>41354.400000000001</v>
      </c>
      <c r="G22" s="16">
        <v>129.69758400000001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customHeight="1" x14ac:dyDescent="0.2">
      <c r="A23" s="4">
        <v>23</v>
      </c>
      <c r="B23" s="25">
        <v>45451</v>
      </c>
      <c r="C23" s="25">
        <v>45447</v>
      </c>
      <c r="D23" s="16">
        <v>592227.6</v>
      </c>
      <c r="E23" s="16">
        <v>297.55992700000002</v>
      </c>
      <c r="F23" s="16">
        <v>42593.8</v>
      </c>
      <c r="G23" s="16">
        <v>130.08095499999999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customHeight="1" x14ac:dyDescent="0.2">
      <c r="A24" s="4">
        <v>24</v>
      </c>
      <c r="B24" s="25">
        <v>45458</v>
      </c>
      <c r="C24" s="25">
        <v>45454</v>
      </c>
      <c r="D24" s="16">
        <v>567236.4</v>
      </c>
      <c r="E24" s="16">
        <v>314.52805899999998</v>
      </c>
      <c r="F24" s="16">
        <v>41517.599999999999</v>
      </c>
      <c r="G24" s="16">
        <v>121.623215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customHeight="1" x14ac:dyDescent="0.2">
      <c r="A25" s="4">
        <v>25</v>
      </c>
      <c r="B25" s="25">
        <v>45465</v>
      </c>
      <c r="C25" s="25">
        <v>45462</v>
      </c>
      <c r="D25" s="16">
        <v>776169</v>
      </c>
      <c r="E25" s="16">
        <v>312.15081300000003</v>
      </c>
      <c r="F25" s="16">
        <v>33834</v>
      </c>
      <c r="G25" s="16">
        <v>128.66848100000001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customHeight="1" x14ac:dyDescent="0.2">
      <c r="A26" s="4">
        <v>26</v>
      </c>
      <c r="B26" s="25">
        <v>45472</v>
      </c>
      <c r="C26" s="25">
        <v>45469</v>
      </c>
      <c r="D26" s="16">
        <v>731211.1</v>
      </c>
      <c r="E26" s="16">
        <v>313.182571</v>
      </c>
      <c r="F26" s="16">
        <v>50293</v>
      </c>
      <c r="G26" s="16">
        <v>128.03832700000001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customHeight="1" x14ac:dyDescent="0.2">
      <c r="A27" s="4">
        <v>27</v>
      </c>
      <c r="B27" s="25">
        <v>45479</v>
      </c>
      <c r="C27" s="25">
        <v>45476</v>
      </c>
      <c r="D27" s="16">
        <v>714219.1</v>
      </c>
      <c r="E27" s="16">
        <v>308.36762499999998</v>
      </c>
      <c r="F27" s="16">
        <v>40610.400000000001</v>
      </c>
      <c r="G27" s="16">
        <v>133.032297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customHeight="1" x14ac:dyDescent="0.2">
      <c r="A28" s="4">
        <v>28</v>
      </c>
      <c r="B28" s="25">
        <v>45486</v>
      </c>
      <c r="C28" s="25">
        <v>45482</v>
      </c>
      <c r="D28" s="16">
        <v>706415.7</v>
      </c>
      <c r="E28" s="16">
        <v>306.87346600000001</v>
      </c>
      <c r="F28" s="16">
        <v>34897.1</v>
      </c>
      <c r="G28" s="16">
        <v>137.99527699999999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customHeight="1" x14ac:dyDescent="0.2">
      <c r="A29" s="4">
        <v>29</v>
      </c>
      <c r="B29" s="25">
        <v>45493</v>
      </c>
      <c r="C29" s="25">
        <v>45489</v>
      </c>
      <c r="D29" s="16">
        <v>706601.8</v>
      </c>
      <c r="E29" s="16">
        <v>313.80116600000002</v>
      </c>
      <c r="F29" s="16">
        <v>45740.6</v>
      </c>
      <c r="G29" s="16">
        <v>143.90966399999999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customHeight="1" x14ac:dyDescent="0.2">
      <c r="A30" s="4">
        <v>30</v>
      </c>
      <c r="B30" s="25">
        <v>45500</v>
      </c>
      <c r="C30" s="25">
        <v>45496</v>
      </c>
      <c r="D30" s="16">
        <v>722991.7</v>
      </c>
      <c r="E30" s="16">
        <v>317.12214899999998</v>
      </c>
      <c r="F30" s="16">
        <v>50757.1</v>
      </c>
      <c r="G30" s="16">
        <v>141.51762400000001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customHeight="1" x14ac:dyDescent="0.2">
      <c r="A31" s="4">
        <v>31</v>
      </c>
      <c r="B31" s="25">
        <v>45507</v>
      </c>
      <c r="C31" s="25">
        <v>45503</v>
      </c>
      <c r="D31" s="16">
        <v>975172.3</v>
      </c>
      <c r="E31" s="16">
        <v>299.91450800000001</v>
      </c>
      <c r="F31" s="16">
        <v>57434.400000000001</v>
      </c>
      <c r="G31" s="16">
        <v>145.869708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customHeight="1" x14ac:dyDescent="0.2">
      <c r="A32" s="4">
        <v>32</v>
      </c>
      <c r="B32" s="25">
        <v>45514</v>
      </c>
      <c r="C32" s="25">
        <v>45510</v>
      </c>
      <c r="D32" s="16">
        <v>756992.62</v>
      </c>
      <c r="E32" s="16">
        <v>314.21090900000002</v>
      </c>
      <c r="F32" s="16">
        <v>53553.599999999999</v>
      </c>
      <c r="G32" s="16">
        <v>138.89148800000001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customHeight="1" x14ac:dyDescent="0.2">
      <c r="A33" s="4">
        <v>33</v>
      </c>
      <c r="B33" s="25">
        <v>45521</v>
      </c>
      <c r="C33" s="25">
        <v>45517</v>
      </c>
      <c r="D33" s="16">
        <v>797134.5</v>
      </c>
      <c r="E33" s="16">
        <v>322.38243899999998</v>
      </c>
      <c r="F33" s="16">
        <v>36300.800000000003</v>
      </c>
      <c r="G33" s="16">
        <v>147.76651699999999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">
      <c r="A34" s="4">
        <v>34</v>
      </c>
      <c r="B34" s="25">
        <v>45528</v>
      </c>
      <c r="C34" s="25">
        <v>45524</v>
      </c>
      <c r="D34" s="16">
        <v>757123.45</v>
      </c>
      <c r="E34" s="16">
        <v>327.24961500000001</v>
      </c>
      <c r="F34" s="16">
        <v>42914.7</v>
      </c>
      <c r="G34" s="16">
        <v>153.99092300000001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customHeight="1" x14ac:dyDescent="0.2">
      <c r="A35" s="4">
        <v>35</v>
      </c>
      <c r="B35" s="25">
        <v>45535</v>
      </c>
      <c r="C35" s="25">
        <v>45532</v>
      </c>
      <c r="D35" s="16">
        <v>994828.1</v>
      </c>
      <c r="E35" s="16">
        <v>334.41311100000001</v>
      </c>
      <c r="F35" s="16">
        <v>49497.8</v>
      </c>
      <c r="G35" s="16">
        <v>138.482857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customHeight="1" x14ac:dyDescent="0.2">
      <c r="A36" s="4">
        <v>36</v>
      </c>
      <c r="B36" s="25">
        <v>45542</v>
      </c>
      <c r="C36" s="25">
        <v>45538</v>
      </c>
      <c r="D36" s="16">
        <v>904510.3</v>
      </c>
      <c r="E36" s="16">
        <v>331.50396599999999</v>
      </c>
      <c r="F36" s="16">
        <v>56646.7</v>
      </c>
      <c r="G36" s="16">
        <v>143.67727600000001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customHeight="1" x14ac:dyDescent="0.2">
      <c r="A37" s="4">
        <v>37</v>
      </c>
      <c r="B37" s="25">
        <v>45549</v>
      </c>
      <c r="C37" s="25">
        <v>45545</v>
      </c>
      <c r="D37" s="16">
        <v>849056.1</v>
      </c>
      <c r="E37" s="16">
        <v>332.80545499999999</v>
      </c>
      <c r="F37" s="16">
        <v>37958.800000000003</v>
      </c>
      <c r="G37" s="16">
        <v>151.61354600000001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customHeight="1" x14ac:dyDescent="0.2">
      <c r="A38" s="4">
        <v>38</v>
      </c>
      <c r="B38" s="25">
        <v>45556</v>
      </c>
      <c r="C38" s="25">
        <v>45552</v>
      </c>
      <c r="D38" s="16">
        <v>1036479.85</v>
      </c>
      <c r="E38" s="16">
        <v>344.55971799999998</v>
      </c>
      <c r="F38" s="16">
        <v>46858.400000000001</v>
      </c>
      <c r="G38" s="16">
        <v>148.50911600000001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4">
        <v>39</v>
      </c>
      <c r="B39" s="25">
        <v>45563</v>
      </c>
      <c r="C39" s="25">
        <v>45559</v>
      </c>
      <c r="D39" s="16">
        <v>974888.9</v>
      </c>
      <c r="E39" s="16">
        <v>327.80501199999998</v>
      </c>
      <c r="F39" s="16">
        <v>60229.8</v>
      </c>
      <c r="G39" s="16">
        <v>150.51048399999999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4">
        <v>40</v>
      </c>
      <c r="B40" s="25">
        <v>45570</v>
      </c>
      <c r="C40" s="25">
        <v>45566</v>
      </c>
      <c r="D40" s="16">
        <v>787941.29</v>
      </c>
      <c r="E40" s="16">
        <v>313.551131</v>
      </c>
      <c r="F40" s="16">
        <v>44535.1</v>
      </c>
      <c r="G40" s="16">
        <v>148.12485799999999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4">
        <v>41</v>
      </c>
      <c r="B41" s="25">
        <v>45577</v>
      </c>
      <c r="C41" s="25"/>
      <c r="D41" s="16">
        <v>0</v>
      </c>
      <c r="E41" s="16">
        <v>0</v>
      </c>
      <c r="F41" s="16">
        <v>0</v>
      </c>
      <c r="G41" s="16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4">
        <v>42</v>
      </c>
      <c r="B42" s="25">
        <v>45584</v>
      </c>
      <c r="C42" s="25">
        <v>45580</v>
      </c>
      <c r="D42" s="16">
        <v>854953.3</v>
      </c>
      <c r="E42" s="16">
        <v>299.66757799999999</v>
      </c>
      <c r="F42" s="16">
        <v>75253.100000000006</v>
      </c>
      <c r="G42" s="16">
        <v>144.724164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customHeight="1" x14ac:dyDescent="0.2">
      <c r="A43" s="4">
        <v>43</v>
      </c>
      <c r="B43" s="25">
        <v>45591</v>
      </c>
      <c r="C43" s="25">
        <v>45587</v>
      </c>
      <c r="D43" s="16">
        <v>871516.85</v>
      </c>
      <c r="E43" s="16">
        <v>298.65361100000001</v>
      </c>
      <c r="F43" s="16">
        <v>52282.400000000001</v>
      </c>
      <c r="G43" s="16">
        <v>143.676468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customHeight="1" x14ac:dyDescent="0.2">
      <c r="A44" s="4">
        <v>44</v>
      </c>
      <c r="B44" s="25">
        <v>45598</v>
      </c>
      <c r="C44" s="25">
        <v>45594</v>
      </c>
      <c r="D44" s="16">
        <v>996603.95</v>
      </c>
      <c r="E44" s="16">
        <v>284.08178600000002</v>
      </c>
      <c r="F44" s="16">
        <v>35474.1</v>
      </c>
      <c r="G44" s="16">
        <v>145.72097299999999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customHeight="1" x14ac:dyDescent="0.2">
      <c r="A45" s="4">
        <v>45</v>
      </c>
      <c r="B45" s="25">
        <v>45605</v>
      </c>
      <c r="C45" s="25">
        <v>45601</v>
      </c>
      <c r="D45" s="16">
        <v>924907.3</v>
      </c>
      <c r="E45" s="16">
        <v>286.620588</v>
      </c>
      <c r="F45" s="16">
        <v>30820.799999999999</v>
      </c>
      <c r="G45" s="16">
        <v>125.79273000000001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customHeight="1" x14ac:dyDescent="0.2">
      <c r="A46" s="4">
        <v>46</v>
      </c>
      <c r="B46" s="25">
        <v>45612</v>
      </c>
      <c r="C46" s="25">
        <v>45608</v>
      </c>
      <c r="D46" s="16">
        <v>1075219.8</v>
      </c>
      <c r="E46" s="16">
        <v>283.905171</v>
      </c>
      <c r="F46" s="16">
        <v>45138.1</v>
      </c>
      <c r="G46" s="16">
        <v>133.50627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customHeight="1" x14ac:dyDescent="0.2">
      <c r="A47" s="4">
        <v>47</v>
      </c>
      <c r="B47" s="25">
        <v>45619</v>
      </c>
      <c r="C47" s="25">
        <v>45615</v>
      </c>
      <c r="D47" s="16">
        <v>994417.2</v>
      </c>
      <c r="E47" s="16">
        <v>277.89464800000002</v>
      </c>
      <c r="F47" s="16">
        <v>40702</v>
      </c>
      <c r="G47" s="16">
        <v>142.475033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customHeight="1" x14ac:dyDescent="0.2">
      <c r="A48" s="4">
        <v>48</v>
      </c>
      <c r="B48" s="25">
        <v>45626</v>
      </c>
      <c r="C48" s="25">
        <v>45622</v>
      </c>
      <c r="D48" s="16">
        <v>1035351.8</v>
      </c>
      <c r="E48" s="16">
        <v>270.876868</v>
      </c>
      <c r="F48" s="16">
        <v>37490.800000000003</v>
      </c>
      <c r="G48" s="16">
        <v>144.90393900000001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2">
      <c r="A49" s="4">
        <v>49</v>
      </c>
      <c r="B49" s="25">
        <v>45633</v>
      </c>
      <c r="C49" s="25">
        <v>45629</v>
      </c>
      <c r="D49" s="16">
        <v>948360.1</v>
      </c>
      <c r="E49" s="16">
        <v>265.84764200000001</v>
      </c>
      <c r="F49" s="16">
        <v>33511.5</v>
      </c>
      <c r="G49" s="16">
        <v>139.12809300000001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customHeight="1" x14ac:dyDescent="0.2">
      <c r="A50" s="4">
        <v>50</v>
      </c>
      <c r="B50" s="25">
        <v>45640</v>
      </c>
      <c r="C50" s="25">
        <v>45636</v>
      </c>
      <c r="D50" s="16">
        <v>814451.9</v>
      </c>
      <c r="E50" s="16">
        <v>257.02504900000002</v>
      </c>
      <c r="F50" s="16">
        <v>29045.3</v>
      </c>
      <c r="G50" s="16">
        <v>139.479905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customHeight="1" x14ac:dyDescent="0.2">
      <c r="A51" s="4">
        <v>51</v>
      </c>
      <c r="B51" s="25">
        <v>45647</v>
      </c>
      <c r="C51" s="25">
        <v>45643</v>
      </c>
      <c r="D51" s="16">
        <v>1082692.5</v>
      </c>
      <c r="E51" s="16">
        <v>249.17565400000001</v>
      </c>
      <c r="F51" s="16">
        <v>32145.7</v>
      </c>
      <c r="G51" s="16">
        <v>138.00619599999999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customHeight="1" x14ac:dyDescent="0.2">
      <c r="A52" s="4">
        <v>52</v>
      </c>
      <c r="B52" s="25">
        <v>45654</v>
      </c>
      <c r="C52" s="25">
        <v>45650</v>
      </c>
      <c r="D52" s="16">
        <v>1090580.1000000001</v>
      </c>
      <c r="E52" s="16">
        <v>245.14083400000001</v>
      </c>
      <c r="F52" s="16">
        <v>19779.900000000001</v>
      </c>
      <c r="G52" s="16">
        <v>140.360072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customHeight="1" x14ac:dyDescent="0.2">
      <c r="A53" s="21"/>
      <c r="B53" s="25"/>
      <c r="C53" s="25"/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customHeight="1" x14ac:dyDescent="0.2">
      <c r="A54" s="3"/>
      <c r="B54" s="3"/>
      <c r="C54" s="3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customHeight="1" x14ac:dyDescent="0.2">
      <c r="A55" s="3"/>
      <c r="B55" s="3"/>
      <c r="C55" s="3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customHeight="1" x14ac:dyDescent="0.2">
      <c r="A56" s="3"/>
      <c r="B56" s="3"/>
      <c r="C56" s="3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customHeight="1" x14ac:dyDescent="0.2">
      <c r="A57" s="3"/>
      <c r="B57" s="3"/>
      <c r="C57" s="3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customHeight="1" x14ac:dyDescent="0.2">
      <c r="A58" s="3"/>
      <c r="B58" s="3"/>
      <c r="C58" s="3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customHeight="1" x14ac:dyDescent="0.2">
      <c r="A59" s="3"/>
      <c r="B59" s="3"/>
      <c r="C59" s="3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customHeight="1" x14ac:dyDescent="0.2">
      <c r="A60" s="3"/>
      <c r="B60" s="3"/>
      <c r="C60" s="3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customHeight="1" x14ac:dyDescent="0.2">
      <c r="A61" s="3"/>
      <c r="B61" s="3"/>
      <c r="C61" s="3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customHeight="1" x14ac:dyDescent="0.2">
      <c r="A62" s="3"/>
      <c r="B62" s="3"/>
      <c r="C62" s="3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customHeight="1" x14ac:dyDescent="0.2">
      <c r="A63" s="3"/>
      <c r="B63" s="3"/>
      <c r="C63" s="3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customHeight="1" x14ac:dyDescent="0.2">
      <c r="A64" s="3"/>
      <c r="B64" s="3"/>
      <c r="C64" s="3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customHeight="1" x14ac:dyDescent="0.2">
      <c r="A65" s="3"/>
      <c r="B65" s="3"/>
      <c r="C65" s="3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customHeight="1" x14ac:dyDescent="0.2">
      <c r="A66" s="3"/>
      <c r="B66" s="3"/>
      <c r="C66" s="3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customHeight="1" x14ac:dyDescent="0.2">
      <c r="A67" s="3"/>
      <c r="B67" s="3"/>
      <c r="C67" s="3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customHeight="1" x14ac:dyDescent="0.2">
      <c r="A68" s="3"/>
      <c r="B68" s="3"/>
      <c r="C68" s="3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customHeight="1" x14ac:dyDescent="0.2">
      <c r="A69" s="3"/>
      <c r="B69" s="3"/>
      <c r="C69" s="3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customHeight="1" x14ac:dyDescent="0.2">
      <c r="A70" s="3"/>
      <c r="B70" s="3"/>
      <c r="C70" s="3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customHeight="1" x14ac:dyDescent="0.2">
      <c r="A71" s="3"/>
      <c r="B71" s="3"/>
      <c r="C71" s="3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customHeight="1" x14ac:dyDescent="0.2">
      <c r="A72" s="3"/>
      <c r="B72" s="3"/>
      <c r="C72" s="3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customHeight="1" x14ac:dyDescent="0.2">
      <c r="A73" s="3"/>
      <c r="B73" s="3"/>
      <c r="C73" s="3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customHeight="1" x14ac:dyDescent="0.2">
      <c r="A74" s="3"/>
      <c r="B74" s="3"/>
      <c r="C74" s="3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customHeight="1" x14ac:dyDescent="0.2">
      <c r="A75" s="3"/>
      <c r="B75" s="3"/>
      <c r="C75" s="3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customHeight="1" x14ac:dyDescent="0.2">
      <c r="A76" s="3"/>
      <c r="B76" s="3"/>
      <c r="C76" s="3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customHeight="1" x14ac:dyDescent="0.2">
      <c r="A77" s="3"/>
      <c r="B77" s="3"/>
      <c r="C77" s="3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customHeight="1" x14ac:dyDescent="0.2">
      <c r="A78" s="3"/>
      <c r="B78" s="3"/>
      <c r="C78" s="3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customHeight="1" x14ac:dyDescent="0.2">
      <c r="A79" s="3"/>
      <c r="B79" s="3"/>
      <c r="C79" s="3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customHeight="1" x14ac:dyDescent="0.2">
      <c r="A80" s="3"/>
      <c r="B80" s="3"/>
      <c r="C80" s="3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customHeight="1" x14ac:dyDescent="0.2">
      <c r="A81" s="3"/>
      <c r="B81" s="3"/>
      <c r="C81" s="3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customHeight="1" x14ac:dyDescent="0.2">
      <c r="A82" s="3"/>
      <c r="B82" s="3"/>
      <c r="C82" s="3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customHeight="1" x14ac:dyDescent="0.2">
      <c r="A83" s="3"/>
      <c r="B83" s="3"/>
      <c r="C83" s="3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customHeight="1" x14ac:dyDescent="0.2">
      <c r="A84" s="3"/>
      <c r="B84" s="3"/>
      <c r="C84" s="3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customHeight="1" x14ac:dyDescent="0.2">
      <c r="A85" s="3"/>
      <c r="B85" s="3"/>
      <c r="C85" s="3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customHeight="1" x14ac:dyDescent="0.2">
      <c r="A86" s="3"/>
      <c r="B86" s="3"/>
      <c r="C86" s="3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customHeight="1" x14ac:dyDescent="0.2">
      <c r="A87" s="3"/>
      <c r="B87" s="3"/>
      <c r="C87" s="3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customHeight="1" x14ac:dyDescent="0.2">
      <c r="A88" s="3"/>
      <c r="B88" s="3"/>
      <c r="C88" s="3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customHeight="1" x14ac:dyDescent="0.2">
      <c r="A89" s="3"/>
      <c r="B89" s="3"/>
      <c r="C89" s="3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customHeight="1" x14ac:dyDescent="0.2">
      <c r="A90" s="3"/>
      <c r="B90" s="3"/>
      <c r="C90" s="3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customHeight="1" x14ac:dyDescent="0.2">
      <c r="A93" s="3"/>
      <c r="B93" s="3"/>
      <c r="C93" s="3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3"/>
      <c r="B94" s="3"/>
      <c r="C94" s="3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customHeight="1" x14ac:dyDescent="0.2">
      <c r="A95" s="3"/>
      <c r="B95" s="3"/>
      <c r="C95" s="3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customHeight="1" x14ac:dyDescent="0.2">
      <c r="A96" s="3"/>
      <c r="B96" s="3"/>
      <c r="C96" s="3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customHeight="1" x14ac:dyDescent="0.2">
      <c r="A97" s="3"/>
      <c r="B97" s="3"/>
      <c r="C97" s="3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customHeight="1" x14ac:dyDescent="0.2">
      <c r="A98" s="3"/>
      <c r="B98" s="3"/>
      <c r="C98" s="3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3"/>
      <c r="B99" s="3"/>
      <c r="C99" s="3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customHeight="1" x14ac:dyDescent="0.2">
      <c r="A100" s="3"/>
      <c r="B100" s="3"/>
      <c r="C100" s="3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customHeight="1" x14ac:dyDescent="0.2">
      <c r="A101" s="3"/>
      <c r="B101" s="3"/>
      <c r="C101" s="3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customHeight="1" x14ac:dyDescent="0.2">
      <c r="A102" s="3"/>
      <c r="B102" s="3"/>
      <c r="C102" s="3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customHeight="1" x14ac:dyDescent="0.2">
      <c r="A103" s="3"/>
      <c r="B103" s="3"/>
      <c r="C103" s="3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customHeight="1" x14ac:dyDescent="0.2">
      <c r="A104" s="3"/>
      <c r="B104" s="3"/>
      <c r="C104" s="3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3"/>
      <c r="B105" s="3"/>
      <c r="C105" s="3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customHeight="1" x14ac:dyDescent="0.2">
      <c r="A106" s="3"/>
      <c r="B106" s="3"/>
      <c r="C106" s="3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customHeight="1" x14ac:dyDescent="0.2">
      <c r="A107" s="3"/>
      <c r="B107" s="3"/>
      <c r="C107" s="3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customHeight="1" x14ac:dyDescent="0.2">
      <c r="A108" s="3"/>
      <c r="B108" s="3"/>
      <c r="C108" s="3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customHeight="1" x14ac:dyDescent="0.2">
      <c r="A109" s="3"/>
      <c r="B109" s="3"/>
      <c r="C109" s="3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customHeight="1" x14ac:dyDescent="0.2">
      <c r="A110" s="3"/>
      <c r="B110" s="3"/>
      <c r="C110" s="3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customHeight="1" x14ac:dyDescent="0.2">
      <c r="A111" s="3"/>
      <c r="B111" s="3"/>
      <c r="C111" s="3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3"/>
      <c r="B112" s="3"/>
      <c r="C112" s="3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customHeight="1" x14ac:dyDescent="0.2">
      <c r="A113" s="3"/>
      <c r="B113" s="3"/>
      <c r="C113" s="3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">
      <c r="A114" s="3"/>
      <c r="B114" s="3"/>
      <c r="C114" s="3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3"/>
      <c r="B115" s="3"/>
      <c r="C115" s="3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customHeight="1" x14ac:dyDescent="0.2">
      <c r="A116" s="3"/>
      <c r="B116" s="3"/>
      <c r="C116" s="3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customHeight="1" x14ac:dyDescent="0.2">
      <c r="A117" s="3"/>
      <c r="B117" s="3"/>
      <c r="C117" s="3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customHeight="1" x14ac:dyDescent="0.2">
      <c r="A118" s="3"/>
      <c r="B118" s="3"/>
      <c r="C118" s="3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customHeight="1" x14ac:dyDescent="0.2">
      <c r="A119" s="3"/>
      <c r="B119" s="3"/>
      <c r="C119" s="3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customHeight="1" x14ac:dyDescent="0.2">
      <c r="A120" s="3"/>
      <c r="B120" s="3"/>
      <c r="C120" s="3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customHeight="1" x14ac:dyDescent="0.2">
      <c r="A121" s="3"/>
      <c r="B121" s="3"/>
      <c r="C121" s="3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customHeight="1" x14ac:dyDescent="0.2">
      <c r="A122" s="3"/>
      <c r="B122" s="3"/>
      <c r="C122" s="3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customHeight="1" x14ac:dyDescent="0.2">
      <c r="A123" s="3"/>
      <c r="B123" s="3"/>
      <c r="C123" s="3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customHeight="1" x14ac:dyDescent="0.2">
      <c r="A124" s="3"/>
      <c r="B124" s="3"/>
      <c r="C124" s="3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customHeight="1" x14ac:dyDescent="0.2">
      <c r="A125" s="3"/>
      <c r="B125" s="3"/>
      <c r="C125" s="3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customHeight="1" x14ac:dyDescent="0.2">
      <c r="A126" s="3"/>
      <c r="B126" s="3"/>
      <c r="C126" s="3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customHeight="1" x14ac:dyDescent="0.2">
      <c r="A127" s="3"/>
      <c r="B127" s="3"/>
      <c r="C127" s="3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customHeight="1" x14ac:dyDescent="0.2">
      <c r="A128" s="3"/>
      <c r="B128" s="3"/>
      <c r="C128" s="3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customHeight="1" x14ac:dyDescent="0.2">
      <c r="A129" s="3"/>
      <c r="B129" s="3"/>
      <c r="C129" s="3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customHeight="1" x14ac:dyDescent="0.2">
      <c r="A130" s="3"/>
      <c r="B130" s="3"/>
      <c r="C130" s="3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">
      <c r="A131" s="3"/>
      <c r="B131" s="3"/>
      <c r="C131" s="3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customHeight="1" x14ac:dyDescent="0.2">
      <c r="A132" s="3"/>
      <c r="B132" s="3"/>
      <c r="C132" s="3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customHeight="1" x14ac:dyDescent="0.2">
      <c r="A133" s="3"/>
      <c r="B133" s="3"/>
      <c r="C133" s="3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customHeight="1" x14ac:dyDescent="0.2">
      <c r="A134" s="3"/>
      <c r="B134" s="3"/>
      <c r="C134" s="3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customHeight="1" x14ac:dyDescent="0.2">
      <c r="A135" s="3"/>
      <c r="B135" s="3"/>
      <c r="C135" s="3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customHeight="1" x14ac:dyDescent="0.2">
      <c r="A136" s="3"/>
      <c r="B136" s="3"/>
      <c r="C136" s="3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customHeight="1" x14ac:dyDescent="0.2">
      <c r="A137" s="3"/>
      <c r="B137" s="3"/>
      <c r="C137" s="3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3"/>
      <c r="B138" s="3"/>
      <c r="C138" s="3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">
      <c r="A139" s="3"/>
      <c r="B139" s="3"/>
      <c r="C139" s="3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">
      <c r="A140" s="3"/>
      <c r="B140" s="3"/>
      <c r="C140" s="3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">
      <c r="A141" s="3"/>
      <c r="B141" s="3"/>
      <c r="C141" s="3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customHeight="1" x14ac:dyDescent="0.2">
      <c r="A167" s="3"/>
      <c r="B167" s="3"/>
      <c r="C167" s="3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customHeight="1" x14ac:dyDescent="0.2">
      <c r="A168" s="3"/>
      <c r="B168" s="3"/>
      <c r="C168" s="3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customHeight="1" x14ac:dyDescent="0.2">
      <c r="A169" s="3"/>
      <c r="B169" s="3"/>
      <c r="C169" s="3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customHeight="1" x14ac:dyDescent="0.2">
      <c r="A170" s="3"/>
      <c r="B170" s="3"/>
      <c r="C170" s="3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customHeight="1" x14ac:dyDescent="0.2">
      <c r="A171" s="3"/>
      <c r="B171" s="3"/>
      <c r="C171" s="3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customHeight="1" x14ac:dyDescent="0.2">
      <c r="A172" s="3"/>
      <c r="B172" s="3"/>
      <c r="C172" s="3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customHeight="1" x14ac:dyDescent="0.2">
      <c r="A173" s="3"/>
      <c r="B173" s="3"/>
      <c r="C173" s="3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customHeight="1" x14ac:dyDescent="0.2">
      <c r="A174" s="3"/>
      <c r="B174" s="3"/>
      <c r="C174" s="3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customHeight="1" x14ac:dyDescent="0.2">
      <c r="A175" s="3"/>
      <c r="B175" s="3"/>
      <c r="C175" s="3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customHeight="1" x14ac:dyDescent="0.2">
      <c r="A176" s="3"/>
      <c r="B176" s="3"/>
      <c r="C176" s="3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customHeight="1" x14ac:dyDescent="0.2">
      <c r="A177" s="3"/>
      <c r="B177" s="3"/>
      <c r="C177" s="3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customHeight="1" x14ac:dyDescent="0.2">
      <c r="A178" s="3"/>
      <c r="B178" s="3"/>
      <c r="C178" s="3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customHeight="1" x14ac:dyDescent="0.2">
      <c r="A179" s="3"/>
      <c r="B179" s="3"/>
      <c r="C179" s="3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customHeight="1" x14ac:dyDescent="0.2">
      <c r="A180" s="3"/>
      <c r="B180" s="3"/>
      <c r="C180" s="3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customHeight="1" x14ac:dyDescent="0.2">
      <c r="A181" s="3"/>
      <c r="B181" s="3"/>
      <c r="C181" s="3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customHeight="1" x14ac:dyDescent="0.2">
      <c r="A182" s="3"/>
      <c r="B182" s="3"/>
      <c r="C182" s="3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customHeight="1" x14ac:dyDescent="0.2">
      <c r="A183" s="3"/>
      <c r="B183" s="3"/>
      <c r="C183" s="3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customHeight="1" x14ac:dyDescent="0.2">
      <c r="A184" s="3"/>
      <c r="B184" s="3"/>
      <c r="C184" s="3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customHeight="1" x14ac:dyDescent="0.2">
      <c r="A185" s="3"/>
      <c r="B185" s="3"/>
      <c r="C185" s="3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customHeight="1" x14ac:dyDescent="0.2">
      <c r="A186" s="3"/>
      <c r="B186" s="3"/>
      <c r="C186" s="3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customHeight="1" x14ac:dyDescent="0.2">
      <c r="A187" s="3"/>
      <c r="B187" s="3"/>
      <c r="C187" s="3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customHeight="1" x14ac:dyDescent="0.2">
      <c r="A188" s="3"/>
      <c r="B188" s="3"/>
      <c r="C188" s="3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customHeight="1" x14ac:dyDescent="0.2">
      <c r="A189" s="3"/>
      <c r="B189" s="3"/>
      <c r="C189" s="3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customHeight="1" x14ac:dyDescent="0.2">
      <c r="A190" s="3"/>
      <c r="B190" s="3"/>
      <c r="C190" s="3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customHeight="1" x14ac:dyDescent="0.2">
      <c r="A191" s="3"/>
      <c r="B191" s="3"/>
      <c r="C191" s="3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customHeight="1" x14ac:dyDescent="0.2">
      <c r="A192" s="3"/>
      <c r="B192" s="3"/>
      <c r="C192" s="3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customHeight="1" x14ac:dyDescent="0.2">
      <c r="A193" s="3"/>
      <c r="B193" s="3"/>
      <c r="C193" s="3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customHeight="1" x14ac:dyDescent="0.2">
      <c r="A194" s="3"/>
      <c r="B194" s="3"/>
      <c r="C194" s="3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customHeight="1" x14ac:dyDescent="0.2">
      <c r="A195" s="3"/>
      <c r="B195" s="3"/>
      <c r="C195" s="3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customHeight="1" x14ac:dyDescent="0.2">
      <c r="A196" s="3"/>
      <c r="B196" s="3"/>
      <c r="C196" s="3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customHeight="1" x14ac:dyDescent="0.2">
      <c r="A197" s="3"/>
      <c r="B197" s="3"/>
      <c r="C197" s="3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customHeight="1" x14ac:dyDescent="0.2">
      <c r="A198" s="3"/>
      <c r="B198" s="3"/>
      <c r="C198" s="3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customHeight="1" x14ac:dyDescent="0.2">
      <c r="A199" s="3"/>
      <c r="B199" s="3"/>
      <c r="C199" s="3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customHeight="1" x14ac:dyDescent="0.2">
      <c r="A200" s="3"/>
      <c r="B200" s="3"/>
      <c r="C200" s="3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customHeight="1" x14ac:dyDescent="0.2">
      <c r="A201" s="3"/>
      <c r="B201" s="3"/>
      <c r="C201" s="3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customHeight="1" x14ac:dyDescent="0.2">
      <c r="A202" s="3"/>
      <c r="B202" s="3"/>
      <c r="C202" s="3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customHeight="1" x14ac:dyDescent="0.2">
      <c r="A203" s="3"/>
      <c r="B203" s="3"/>
      <c r="C203" s="3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customHeight="1" x14ac:dyDescent="0.2">
      <c r="A204" s="3"/>
      <c r="B204" s="3"/>
      <c r="C204" s="3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customHeight="1" x14ac:dyDescent="0.2">
      <c r="A205" s="3"/>
      <c r="B205" s="3"/>
      <c r="C205" s="3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customHeight="1" x14ac:dyDescent="0.2">
      <c r="A206" s="3"/>
      <c r="B206" s="3"/>
      <c r="C206" s="3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customHeight="1" x14ac:dyDescent="0.2">
      <c r="A207" s="3"/>
      <c r="B207" s="3"/>
      <c r="C207" s="3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customHeight="1" x14ac:dyDescent="0.2">
      <c r="A208" s="3"/>
      <c r="B208" s="3"/>
      <c r="C208" s="3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customHeight="1" x14ac:dyDescent="0.2">
      <c r="A209" s="3"/>
      <c r="B209" s="3"/>
      <c r="C209" s="3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customHeight="1" x14ac:dyDescent="0.2">
      <c r="A210" s="3"/>
      <c r="B210" s="3"/>
      <c r="C210" s="3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customHeight="1" x14ac:dyDescent="0.2">
      <c r="A211" s="3"/>
      <c r="B211" s="3"/>
      <c r="C211" s="3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customHeight="1" x14ac:dyDescent="0.2">
      <c r="A212" s="3"/>
      <c r="B212" s="3"/>
      <c r="C212" s="3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customHeight="1" x14ac:dyDescent="0.2">
      <c r="A213" s="3"/>
      <c r="B213" s="3"/>
      <c r="C213" s="3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customHeight="1" x14ac:dyDescent="0.2">
      <c r="A214" s="3"/>
      <c r="B214" s="3"/>
      <c r="C214" s="3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customHeight="1" x14ac:dyDescent="0.2">
      <c r="A215" s="3"/>
      <c r="B215" s="3"/>
      <c r="C215" s="3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customHeight="1" x14ac:dyDescent="0.2">
      <c r="A216" s="3"/>
      <c r="B216" s="3"/>
      <c r="C216" s="3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customHeight="1" x14ac:dyDescent="0.2">
      <c r="A217" s="3"/>
      <c r="B217" s="3"/>
      <c r="C217" s="3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customHeight="1" x14ac:dyDescent="0.2">
      <c r="A218" s="3"/>
      <c r="B218" s="3"/>
      <c r="C218" s="3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customHeight="1" x14ac:dyDescent="0.2">
      <c r="A219" s="3"/>
      <c r="B219" s="3"/>
      <c r="C219" s="3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customHeight="1" x14ac:dyDescent="0.2">
      <c r="A220" s="3"/>
      <c r="B220" s="3"/>
      <c r="C220" s="3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customHeight="1" x14ac:dyDescent="0.2">
      <c r="A221" s="3"/>
      <c r="B221" s="3"/>
      <c r="C221" s="3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customHeight="1" x14ac:dyDescent="0.2">
      <c r="A222" s="3"/>
      <c r="B222" s="3"/>
      <c r="C222" s="3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customHeight="1" x14ac:dyDescent="0.2">
      <c r="A223" s="3"/>
      <c r="B223" s="3"/>
      <c r="C223" s="3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customHeight="1" x14ac:dyDescent="0.2">
      <c r="A224" s="3"/>
      <c r="B224" s="3"/>
      <c r="C224" s="3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customHeight="1" x14ac:dyDescent="0.2">
      <c r="A225" s="3"/>
      <c r="B225" s="3"/>
      <c r="C225" s="3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customHeight="1" x14ac:dyDescent="0.2">
      <c r="A226" s="3"/>
      <c r="B226" s="3"/>
      <c r="C226" s="3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customHeight="1" x14ac:dyDescent="0.2">
      <c r="A227" s="3"/>
      <c r="B227" s="3"/>
      <c r="C227" s="3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customHeight="1" x14ac:dyDescent="0.2">
      <c r="A228" s="3"/>
      <c r="B228" s="3"/>
      <c r="C228" s="3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customHeight="1" x14ac:dyDescent="0.2">
      <c r="A229" s="3"/>
      <c r="B229" s="3"/>
      <c r="C229" s="3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customHeight="1" x14ac:dyDescent="0.2">
      <c r="A230" s="3"/>
      <c r="B230" s="3"/>
      <c r="C230" s="3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customHeight="1" x14ac:dyDescent="0.2">
      <c r="A231" s="3"/>
      <c r="B231" s="3"/>
      <c r="C231" s="3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customHeight="1" x14ac:dyDescent="0.2">
      <c r="A232" s="3"/>
      <c r="B232" s="3"/>
      <c r="C232" s="3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customHeight="1" x14ac:dyDescent="0.2">
      <c r="A233" s="3"/>
      <c r="B233" s="3"/>
      <c r="C233" s="3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customHeight="1" x14ac:dyDescent="0.2">
      <c r="A234" s="3"/>
      <c r="B234" s="3"/>
      <c r="C234" s="3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customHeight="1" x14ac:dyDescent="0.2">
      <c r="A235" s="3"/>
      <c r="B235" s="3"/>
      <c r="C235" s="3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customHeight="1" x14ac:dyDescent="0.2">
      <c r="A236" s="3"/>
      <c r="B236" s="3"/>
      <c r="C236" s="3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customHeight="1" x14ac:dyDescent="0.2">
      <c r="A237" s="3"/>
      <c r="B237" s="3"/>
      <c r="C237" s="3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customHeight="1" x14ac:dyDescent="0.2">
      <c r="A238" s="3"/>
      <c r="B238" s="3"/>
      <c r="C238" s="3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customHeight="1" x14ac:dyDescent="0.2">
      <c r="A239" s="3"/>
      <c r="B239" s="3"/>
      <c r="C239" s="3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customHeight="1" x14ac:dyDescent="0.2">
      <c r="A240" s="3"/>
      <c r="B240" s="3"/>
      <c r="C240" s="3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customHeight="1" x14ac:dyDescent="0.2">
      <c r="A241" s="3"/>
      <c r="B241" s="3"/>
      <c r="C241" s="3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customHeight="1" x14ac:dyDescent="0.2">
      <c r="A242" s="3"/>
      <c r="B242" s="3"/>
      <c r="C242" s="3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customHeight="1" x14ac:dyDescent="0.2">
      <c r="A243" s="3"/>
      <c r="B243" s="3"/>
      <c r="C243" s="3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customHeight="1" x14ac:dyDescent="0.2">
      <c r="A244" s="3"/>
      <c r="B244" s="3"/>
      <c r="C244" s="3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customHeight="1" x14ac:dyDescent="0.2">
      <c r="A245" s="3"/>
      <c r="B245" s="3"/>
      <c r="C245" s="3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customHeight="1" x14ac:dyDescent="0.2">
      <c r="A246" s="3"/>
      <c r="B246" s="3"/>
      <c r="C246" s="3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customHeight="1" x14ac:dyDescent="0.2">
      <c r="A247" s="3"/>
      <c r="B247" s="3"/>
      <c r="C247" s="3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customHeight="1" x14ac:dyDescent="0.2">
      <c r="A248" s="3"/>
      <c r="B248" s="3"/>
      <c r="C248" s="3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customHeight="1" x14ac:dyDescent="0.2">
      <c r="A249" s="3"/>
      <c r="B249" s="3"/>
      <c r="C249" s="3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customHeight="1" x14ac:dyDescent="0.2">
      <c r="A250" s="3"/>
      <c r="B250" s="3"/>
      <c r="C250" s="3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customHeight="1" x14ac:dyDescent="0.2">
      <c r="A251" s="3"/>
      <c r="B251" s="3"/>
      <c r="C251" s="3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customHeight="1" x14ac:dyDescent="0.2">
      <c r="A252" s="3"/>
      <c r="B252" s="3"/>
      <c r="C252" s="3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customHeight="1" x14ac:dyDescent="0.2">
      <c r="A253" s="3"/>
      <c r="B253" s="3"/>
      <c r="C253" s="3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customHeight="1" x14ac:dyDescent="0.2">
      <c r="A254" s="3"/>
      <c r="B254" s="3"/>
      <c r="C254" s="3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customHeight="1" x14ac:dyDescent="0.2">
      <c r="A255" s="3"/>
      <c r="B255" s="3"/>
      <c r="C255" s="3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customHeight="1" x14ac:dyDescent="0.2">
      <c r="A256" s="3"/>
      <c r="B256" s="3"/>
      <c r="C256" s="3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customHeight="1" x14ac:dyDescent="0.2">
      <c r="A257" s="3"/>
      <c r="B257" s="3"/>
      <c r="C257" s="3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customHeight="1" x14ac:dyDescent="0.2">
      <c r="A258" s="3"/>
      <c r="B258" s="3"/>
      <c r="C258" s="3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customHeight="1" x14ac:dyDescent="0.2">
      <c r="A259" s="3"/>
      <c r="B259" s="3"/>
      <c r="C259" s="3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customHeight="1" x14ac:dyDescent="0.2">
      <c r="A260" s="3"/>
      <c r="B260" s="3"/>
      <c r="C260" s="3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customHeight="1" x14ac:dyDescent="0.2">
      <c r="A261" s="3"/>
      <c r="B261" s="3"/>
      <c r="C261" s="3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customHeight="1" x14ac:dyDescent="0.2">
      <c r="A262" s="3"/>
      <c r="B262" s="3"/>
      <c r="C262" s="3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customHeight="1" x14ac:dyDescent="0.2">
      <c r="A263" s="3"/>
      <c r="B263" s="3"/>
      <c r="C263" s="3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customHeight="1" x14ac:dyDescent="0.2">
      <c r="A264" s="3"/>
      <c r="B264" s="3"/>
      <c r="C264" s="3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customHeight="1" x14ac:dyDescent="0.2">
      <c r="A265" s="3"/>
      <c r="B265" s="3"/>
      <c r="C265" s="3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customHeight="1" x14ac:dyDescent="0.2">
      <c r="A266" s="3"/>
      <c r="B266" s="3"/>
      <c r="C266" s="3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customHeight="1" x14ac:dyDescent="0.2">
      <c r="A267" s="3"/>
      <c r="B267" s="3"/>
      <c r="C267" s="3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customHeight="1" x14ac:dyDescent="0.2">
      <c r="A268" s="3"/>
      <c r="B268" s="3"/>
      <c r="C268" s="3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customHeight="1" x14ac:dyDescent="0.2">
      <c r="A269" s="3"/>
      <c r="B269" s="3"/>
      <c r="C269" s="3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customHeight="1" x14ac:dyDescent="0.2">
      <c r="A270" s="3"/>
      <c r="B270" s="3"/>
      <c r="C270" s="3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customHeight="1" x14ac:dyDescent="0.2">
      <c r="A271" s="3"/>
      <c r="B271" s="3"/>
      <c r="C271" s="3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customHeight="1" x14ac:dyDescent="0.2">
      <c r="A272" s="3"/>
      <c r="B272" s="3"/>
      <c r="C272" s="3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customHeight="1" x14ac:dyDescent="0.2">
      <c r="A273" s="3"/>
      <c r="B273" s="3"/>
      <c r="C273" s="3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customHeight="1" x14ac:dyDescent="0.2">
      <c r="A274" s="3"/>
      <c r="B274" s="3"/>
      <c r="C274" s="3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customHeight="1" x14ac:dyDescent="0.2">
      <c r="A275" s="3"/>
      <c r="B275" s="3"/>
      <c r="C275" s="3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customHeight="1" x14ac:dyDescent="0.2">
      <c r="A276" s="3"/>
      <c r="B276" s="3"/>
      <c r="C276" s="3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customHeight="1" x14ac:dyDescent="0.2">
      <c r="A277" s="3"/>
      <c r="B277" s="3"/>
      <c r="C277" s="3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customHeight="1" x14ac:dyDescent="0.2">
      <c r="A278" s="3"/>
      <c r="B278" s="3"/>
      <c r="C278" s="3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customHeight="1" x14ac:dyDescent="0.2">
      <c r="A279" s="3"/>
      <c r="B279" s="3"/>
      <c r="C279" s="3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customHeight="1" x14ac:dyDescent="0.2">
      <c r="A280" s="3"/>
      <c r="B280" s="3"/>
      <c r="C280" s="3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customHeight="1" x14ac:dyDescent="0.2">
      <c r="A281" s="3"/>
      <c r="B281" s="3"/>
      <c r="C281" s="3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customHeight="1" x14ac:dyDescent="0.2">
      <c r="A282" s="3"/>
      <c r="B282" s="3"/>
      <c r="C282" s="3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customHeight="1" x14ac:dyDescent="0.2">
      <c r="A283" s="3"/>
      <c r="B283" s="3"/>
      <c r="C283" s="3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customHeight="1" x14ac:dyDescent="0.2">
      <c r="A284" s="3"/>
      <c r="B284" s="3"/>
      <c r="C284" s="3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customHeight="1" x14ac:dyDescent="0.2">
      <c r="A285" s="3"/>
      <c r="B285" s="3"/>
      <c r="C285" s="3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customHeight="1" x14ac:dyDescent="0.2">
      <c r="A286" s="3"/>
      <c r="B286" s="3"/>
      <c r="C286" s="3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customHeight="1" x14ac:dyDescent="0.2">
      <c r="A287" s="3"/>
      <c r="B287" s="3"/>
      <c r="C287" s="3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customHeight="1" x14ac:dyDescent="0.2">
      <c r="A288" s="3"/>
      <c r="B288" s="3"/>
      <c r="C288" s="3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customHeight="1" x14ac:dyDescent="0.2">
      <c r="A289" s="3"/>
      <c r="B289" s="3"/>
      <c r="C289" s="3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customHeight="1" x14ac:dyDescent="0.2">
      <c r="A290" s="3"/>
      <c r="B290" s="3"/>
      <c r="C290" s="3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customHeight="1" x14ac:dyDescent="0.2">
      <c r="A291" s="3"/>
      <c r="B291" s="3"/>
      <c r="C291" s="3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customHeight="1" x14ac:dyDescent="0.2">
      <c r="A292" s="3"/>
      <c r="B292" s="3"/>
      <c r="C292" s="3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customHeight="1" x14ac:dyDescent="0.2">
      <c r="A293" s="3"/>
      <c r="B293" s="3"/>
      <c r="C293" s="3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customHeight="1" x14ac:dyDescent="0.2">
      <c r="A294" s="3"/>
      <c r="B294" s="3"/>
      <c r="C294" s="3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customHeight="1" x14ac:dyDescent="0.2">
      <c r="A295" s="3"/>
      <c r="B295" s="3"/>
      <c r="C295" s="3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customHeight="1" x14ac:dyDescent="0.2">
      <c r="A296" s="3"/>
      <c r="B296" s="3"/>
      <c r="C296" s="3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customHeight="1" x14ac:dyDescent="0.2">
      <c r="A297" s="3"/>
      <c r="B297" s="3"/>
      <c r="C297" s="3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customHeight="1" x14ac:dyDescent="0.2">
      <c r="A298" s="3"/>
      <c r="B298" s="3"/>
      <c r="C298" s="3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customHeight="1" x14ac:dyDescent="0.2">
      <c r="A299" s="3"/>
      <c r="B299" s="3"/>
      <c r="C299" s="3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customHeight="1" x14ac:dyDescent="0.2">
      <c r="A300" s="3"/>
      <c r="B300" s="3"/>
      <c r="C300" s="3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customHeight="1" x14ac:dyDescent="0.2">
      <c r="A301" s="3"/>
      <c r="B301" s="3"/>
      <c r="C301" s="3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customHeight="1" x14ac:dyDescent="0.2">
      <c r="A302" s="3"/>
      <c r="B302" s="3"/>
      <c r="C302" s="3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customHeight="1" x14ac:dyDescent="0.2">
      <c r="A303" s="3"/>
      <c r="B303" s="3"/>
      <c r="C303" s="3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customHeight="1" x14ac:dyDescent="0.2">
      <c r="A304" s="3"/>
      <c r="B304" s="3"/>
      <c r="C304" s="3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customHeight="1" x14ac:dyDescent="0.2">
      <c r="A305" s="3"/>
      <c r="B305" s="3"/>
      <c r="C305" s="3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customHeight="1" x14ac:dyDescent="0.2">
      <c r="A306" s="3"/>
      <c r="B306" s="3"/>
      <c r="C306" s="3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customHeight="1" x14ac:dyDescent="0.2">
      <c r="A307" s="3"/>
      <c r="B307" s="3"/>
      <c r="C307" s="3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customHeight="1" x14ac:dyDescent="0.2">
      <c r="A308" s="3"/>
      <c r="B308" s="3"/>
      <c r="C308" s="3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customHeight="1" x14ac:dyDescent="0.2">
      <c r="A309" s="3"/>
      <c r="B309" s="3"/>
      <c r="C309" s="3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customHeight="1" x14ac:dyDescent="0.2">
      <c r="A310" s="3"/>
      <c r="B310" s="3"/>
      <c r="C310" s="3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customHeight="1" x14ac:dyDescent="0.2">
      <c r="A311" s="3"/>
      <c r="B311" s="3"/>
      <c r="C311" s="3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customHeight="1" x14ac:dyDescent="0.2">
      <c r="A312" s="3"/>
      <c r="B312" s="3"/>
      <c r="C312" s="3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customHeight="1" x14ac:dyDescent="0.2">
      <c r="A313" s="3"/>
      <c r="B313" s="3"/>
      <c r="C313" s="3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customHeight="1" x14ac:dyDescent="0.2">
      <c r="A314" s="3"/>
      <c r="B314" s="3"/>
      <c r="C314" s="3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customHeight="1" x14ac:dyDescent="0.2">
      <c r="A315" s="3"/>
      <c r="B315" s="3"/>
      <c r="C315" s="3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customHeight="1" x14ac:dyDescent="0.2">
      <c r="A316" s="3"/>
      <c r="B316" s="3"/>
      <c r="C316" s="3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customHeight="1" x14ac:dyDescent="0.2">
      <c r="A317" s="3"/>
      <c r="B317" s="3"/>
      <c r="C317" s="3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customHeight="1" x14ac:dyDescent="0.2">
      <c r="A318" s="3"/>
      <c r="B318" s="3"/>
      <c r="C318" s="3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customHeight="1" x14ac:dyDescent="0.2">
      <c r="A319" s="3"/>
      <c r="B319" s="3"/>
      <c r="C319" s="3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customHeight="1" x14ac:dyDescent="0.2">
      <c r="A320" s="3"/>
      <c r="B320" s="3"/>
      <c r="C320" s="3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customHeight="1" x14ac:dyDescent="0.2">
      <c r="A321" s="3"/>
      <c r="B321" s="3"/>
      <c r="C321" s="3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customHeight="1" x14ac:dyDescent="0.2">
      <c r="A322" s="3"/>
      <c r="B322" s="3"/>
      <c r="C322" s="3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customHeight="1" x14ac:dyDescent="0.2">
      <c r="A323" s="3"/>
      <c r="B323" s="3"/>
      <c r="C323" s="3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customHeight="1" x14ac:dyDescent="0.2">
      <c r="A324" s="3"/>
      <c r="B324" s="3"/>
      <c r="C324" s="3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customHeight="1" x14ac:dyDescent="0.2">
      <c r="A325" s="3"/>
      <c r="B325" s="3"/>
      <c r="C325" s="3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customHeight="1" x14ac:dyDescent="0.2">
      <c r="A326" s="3"/>
      <c r="B326" s="3"/>
      <c r="C326" s="3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customHeight="1" x14ac:dyDescent="0.2">
      <c r="A327" s="3"/>
      <c r="B327" s="3"/>
      <c r="C327" s="3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customHeight="1" x14ac:dyDescent="0.2">
      <c r="A328" s="3"/>
      <c r="B328" s="3"/>
      <c r="C328" s="3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customHeight="1" x14ac:dyDescent="0.2">
      <c r="A329" s="3"/>
      <c r="B329" s="3"/>
      <c r="C329" s="3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customHeight="1" x14ac:dyDescent="0.2">
      <c r="A330" s="3"/>
      <c r="B330" s="3"/>
      <c r="C330" s="3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customHeight="1" x14ac:dyDescent="0.2">
      <c r="A331" s="3"/>
      <c r="B331" s="3"/>
      <c r="C331" s="3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customHeight="1" x14ac:dyDescent="0.2">
      <c r="A332" s="3"/>
      <c r="B332" s="3"/>
      <c r="C332" s="3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customHeight="1" x14ac:dyDescent="0.2">
      <c r="A333" s="3"/>
      <c r="B333" s="3"/>
      <c r="C333" s="3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customHeight="1" x14ac:dyDescent="0.2">
      <c r="A334" s="3"/>
      <c r="B334" s="3"/>
      <c r="C334" s="3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customHeight="1" x14ac:dyDescent="0.2">
      <c r="A335" s="3"/>
      <c r="B335" s="3"/>
      <c r="C335" s="3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customHeight="1" x14ac:dyDescent="0.2">
      <c r="A336" s="3"/>
      <c r="B336" s="3"/>
      <c r="C336" s="3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customHeight="1" x14ac:dyDescent="0.2">
      <c r="A337" s="3"/>
      <c r="B337" s="3"/>
      <c r="C337" s="3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customHeight="1" x14ac:dyDescent="0.2">
      <c r="A338" s="3"/>
      <c r="B338" s="3"/>
      <c r="C338" s="3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customHeight="1" x14ac:dyDescent="0.2">
      <c r="A339" s="3"/>
      <c r="B339" s="3"/>
      <c r="C339" s="3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customHeight="1" x14ac:dyDescent="0.2">
      <c r="A340" s="3"/>
      <c r="B340" s="3"/>
      <c r="C340" s="3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customHeight="1" x14ac:dyDescent="0.2">
      <c r="A341" s="3"/>
      <c r="B341" s="3"/>
      <c r="C341" s="3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customHeight="1" x14ac:dyDescent="0.2">
      <c r="A342" s="3"/>
      <c r="B342" s="3"/>
      <c r="C342" s="3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customHeight="1" x14ac:dyDescent="0.2">
      <c r="A343" s="3"/>
      <c r="B343" s="3"/>
      <c r="C343" s="3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customHeight="1" x14ac:dyDescent="0.2">
      <c r="A344" s="3"/>
      <c r="B344" s="3"/>
      <c r="C344" s="3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customHeight="1" x14ac:dyDescent="0.2">
      <c r="A345" s="3"/>
      <c r="B345" s="3"/>
      <c r="C345" s="3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customHeight="1" x14ac:dyDescent="0.2">
      <c r="A346" s="3"/>
      <c r="B346" s="3"/>
      <c r="C346" s="3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customHeight="1" x14ac:dyDescent="0.2">
      <c r="A347" s="3"/>
      <c r="B347" s="3"/>
      <c r="C347" s="3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customHeight="1" x14ac:dyDescent="0.2">
      <c r="A348" s="3"/>
      <c r="B348" s="3"/>
      <c r="C348" s="3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customHeight="1" x14ac:dyDescent="0.2">
      <c r="A349" s="3"/>
      <c r="B349" s="3"/>
      <c r="C349" s="3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customHeight="1" x14ac:dyDescent="0.2">
      <c r="A350" s="3"/>
      <c r="B350" s="3"/>
      <c r="C350" s="3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customHeight="1" x14ac:dyDescent="0.2">
      <c r="A351" s="3"/>
      <c r="B351" s="3"/>
      <c r="C351" s="3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customHeight="1" x14ac:dyDescent="0.2">
      <c r="A352" s="3"/>
      <c r="B352" s="3"/>
      <c r="C352" s="3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customHeight="1" x14ac:dyDescent="0.2">
      <c r="A353" s="3"/>
      <c r="B353" s="3"/>
      <c r="C353" s="3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customHeight="1" x14ac:dyDescent="0.2">
      <c r="A354" s="3"/>
      <c r="B354" s="3"/>
      <c r="C354" s="3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customHeight="1" x14ac:dyDescent="0.2">
      <c r="A355" s="3"/>
      <c r="B355" s="3"/>
      <c r="C355" s="3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customHeight="1" x14ac:dyDescent="0.2">
      <c r="A356" s="3"/>
      <c r="B356" s="3"/>
      <c r="C356" s="3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customHeight="1" x14ac:dyDescent="0.2">
      <c r="A357" s="3"/>
      <c r="B357" s="3"/>
      <c r="C357" s="3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customHeight="1" x14ac:dyDescent="0.2">
      <c r="A358" s="3"/>
      <c r="B358" s="3"/>
      <c r="C358" s="3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customHeight="1" x14ac:dyDescent="0.2">
      <c r="A359" s="3"/>
      <c r="B359" s="3"/>
      <c r="C359" s="3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customHeight="1" x14ac:dyDescent="0.2">
      <c r="A360" s="3"/>
      <c r="B360" s="3"/>
      <c r="C360" s="3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customHeight="1" x14ac:dyDescent="0.2">
      <c r="A361" s="3"/>
      <c r="B361" s="3"/>
      <c r="C361" s="3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customHeight="1" x14ac:dyDescent="0.2">
      <c r="A362" s="3"/>
      <c r="B362" s="3"/>
      <c r="C362" s="3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customHeight="1" x14ac:dyDescent="0.2">
      <c r="A363" s="3"/>
      <c r="B363" s="3"/>
      <c r="C363" s="3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customHeight="1" x14ac:dyDescent="0.2">
      <c r="A364" s="3"/>
      <c r="B364" s="3"/>
      <c r="C364" s="3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customHeight="1" x14ac:dyDescent="0.2">
      <c r="A365" s="3"/>
      <c r="B365" s="3"/>
      <c r="C365" s="3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customHeight="1" x14ac:dyDescent="0.2">
      <c r="A366" s="3"/>
      <c r="B366" s="3"/>
      <c r="C366" s="3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customHeight="1" x14ac:dyDescent="0.2">
      <c r="A367" s="3"/>
      <c r="B367" s="3"/>
      <c r="C367" s="3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customHeight="1" x14ac:dyDescent="0.2">
      <c r="A368" s="3"/>
      <c r="B368" s="3"/>
      <c r="C368" s="3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customHeight="1" x14ac:dyDescent="0.2">
      <c r="A369" s="3"/>
      <c r="B369" s="3"/>
      <c r="C369" s="3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customHeight="1" x14ac:dyDescent="0.2">
      <c r="A370" s="3"/>
      <c r="B370" s="3"/>
      <c r="C370" s="3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customHeight="1" x14ac:dyDescent="0.2">
      <c r="A371" s="3"/>
      <c r="B371" s="3"/>
      <c r="C371" s="3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customHeight="1" x14ac:dyDescent="0.2">
      <c r="A372" s="3"/>
      <c r="B372" s="3"/>
      <c r="C372" s="3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customHeight="1" x14ac:dyDescent="0.2">
      <c r="A373" s="3"/>
      <c r="B373" s="3"/>
      <c r="C373" s="3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customHeight="1" x14ac:dyDescent="0.2">
      <c r="A374" s="3"/>
      <c r="B374" s="3"/>
      <c r="C374" s="3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customHeight="1" x14ac:dyDescent="0.2">
      <c r="A375" s="3"/>
      <c r="B375" s="3"/>
      <c r="C375" s="3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customHeight="1" x14ac:dyDescent="0.2">
      <c r="A376" s="3"/>
      <c r="B376" s="3"/>
      <c r="C376" s="3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customHeight="1" x14ac:dyDescent="0.2">
      <c r="A377" s="3"/>
      <c r="B377" s="3"/>
      <c r="C377" s="3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customHeight="1" x14ac:dyDescent="0.2">
      <c r="A378" s="3"/>
      <c r="B378" s="3"/>
      <c r="C378" s="3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customHeight="1" x14ac:dyDescent="0.2">
      <c r="A379" s="3"/>
      <c r="B379" s="3"/>
      <c r="C379" s="3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customHeight="1" x14ac:dyDescent="0.2">
      <c r="A380" s="3"/>
      <c r="B380" s="3"/>
      <c r="C380" s="3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customHeight="1" x14ac:dyDescent="0.2">
      <c r="A381" s="3"/>
      <c r="B381" s="3"/>
      <c r="C381" s="3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customHeight="1" x14ac:dyDescent="0.2">
      <c r="A382" s="3"/>
      <c r="B382" s="3"/>
      <c r="C382" s="3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customHeight="1" x14ac:dyDescent="0.2">
      <c r="A383" s="3"/>
      <c r="B383" s="3"/>
      <c r="C383" s="3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customHeight="1" x14ac:dyDescent="0.2">
      <c r="A384" s="3"/>
      <c r="B384" s="3"/>
      <c r="C384" s="3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customHeight="1" x14ac:dyDescent="0.2">
      <c r="A385" s="3"/>
      <c r="B385" s="3"/>
      <c r="C385" s="3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customHeight="1" x14ac:dyDescent="0.2">
      <c r="A386" s="3"/>
      <c r="B386" s="3"/>
      <c r="C386" s="3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customHeight="1" x14ac:dyDescent="0.2">
      <c r="A387" s="3"/>
      <c r="B387" s="3"/>
      <c r="C387" s="3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customHeight="1" x14ac:dyDescent="0.2">
      <c r="A388" s="3"/>
      <c r="B388" s="3"/>
      <c r="C388" s="3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customHeight="1" x14ac:dyDescent="0.2">
      <c r="A389" s="3"/>
      <c r="B389" s="3"/>
      <c r="C389" s="3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customHeight="1" x14ac:dyDescent="0.2">
      <c r="A390" s="3"/>
      <c r="B390" s="3"/>
      <c r="C390" s="3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customHeight="1" x14ac:dyDescent="0.2">
      <c r="A391" s="3"/>
      <c r="B391" s="3"/>
      <c r="C391" s="3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customHeight="1" x14ac:dyDescent="0.2">
      <c r="A392" s="3"/>
      <c r="B392" s="3"/>
      <c r="C392" s="3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customHeight="1" x14ac:dyDescent="0.2">
      <c r="A393" s="3"/>
      <c r="B393" s="3"/>
      <c r="C393" s="3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customHeight="1" x14ac:dyDescent="0.2">
      <c r="A394" s="3"/>
      <c r="B394" s="3"/>
      <c r="C394" s="3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customHeight="1" x14ac:dyDescent="0.2">
      <c r="A395" s="3"/>
      <c r="B395" s="3"/>
      <c r="C395" s="3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customHeight="1" x14ac:dyDescent="0.2">
      <c r="A396" s="3"/>
      <c r="B396" s="3"/>
      <c r="C396" s="3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customHeight="1" x14ac:dyDescent="0.2">
      <c r="A397" s="3"/>
      <c r="B397" s="3"/>
      <c r="C397" s="3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customHeight="1" x14ac:dyDescent="0.2">
      <c r="A398" s="3"/>
      <c r="B398" s="3"/>
      <c r="C398" s="3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customHeight="1" x14ac:dyDescent="0.2">
      <c r="A399" s="3"/>
      <c r="B399" s="3"/>
      <c r="C399" s="3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customHeight="1" x14ac:dyDescent="0.2">
      <c r="A400" s="3"/>
      <c r="B400" s="3"/>
      <c r="C400" s="3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customHeight="1" x14ac:dyDescent="0.2">
      <c r="A401" s="3"/>
      <c r="B401" s="3"/>
      <c r="C401" s="3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customHeight="1" x14ac:dyDescent="0.2">
      <c r="A402" s="3"/>
      <c r="B402" s="3"/>
      <c r="C402" s="3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customHeight="1" x14ac:dyDescent="0.2">
      <c r="A403" s="3"/>
      <c r="B403" s="3"/>
      <c r="C403" s="3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customHeight="1" x14ac:dyDescent="0.2">
      <c r="A404" s="3"/>
      <c r="B404" s="3"/>
      <c r="C404" s="3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customHeight="1" x14ac:dyDescent="0.2">
      <c r="A405" s="3"/>
      <c r="B405" s="3"/>
      <c r="C405" s="3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customHeight="1" x14ac:dyDescent="0.2">
      <c r="A406" s="3"/>
      <c r="B406" s="3"/>
      <c r="C406" s="3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customHeight="1" x14ac:dyDescent="0.2">
      <c r="A407" s="3"/>
      <c r="B407" s="3"/>
      <c r="C407" s="3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customHeight="1" x14ac:dyDescent="0.2">
      <c r="A408" s="3"/>
      <c r="B408" s="3"/>
      <c r="C408" s="3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customHeight="1" x14ac:dyDescent="0.2">
      <c r="A409" s="3"/>
      <c r="B409" s="3"/>
      <c r="C409" s="3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customHeight="1" x14ac:dyDescent="0.2">
      <c r="A410" s="3"/>
      <c r="B410" s="3"/>
      <c r="C410" s="3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customHeight="1" x14ac:dyDescent="0.2">
      <c r="A411" s="3"/>
      <c r="B411" s="3"/>
      <c r="C411" s="3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customHeight="1" x14ac:dyDescent="0.2">
      <c r="A412" s="3"/>
      <c r="B412" s="3"/>
      <c r="C412" s="3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customHeight="1" x14ac:dyDescent="0.2">
      <c r="A413" s="3"/>
      <c r="B413" s="3"/>
      <c r="C413" s="3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customHeight="1" x14ac:dyDescent="0.2">
      <c r="A414" s="3"/>
      <c r="B414" s="3"/>
      <c r="C414" s="3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customHeight="1" x14ac:dyDescent="0.2">
      <c r="A415" s="3"/>
      <c r="B415" s="3"/>
      <c r="C415" s="3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customHeight="1" x14ac:dyDescent="0.2">
      <c r="A416" s="3"/>
      <c r="B416" s="3"/>
      <c r="C416" s="3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customHeight="1" x14ac:dyDescent="0.2">
      <c r="A417" s="3"/>
      <c r="B417" s="3"/>
      <c r="C417" s="3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customHeight="1" x14ac:dyDescent="0.2">
      <c r="A418" s="3"/>
      <c r="B418" s="3"/>
      <c r="C418" s="3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customHeight="1" x14ac:dyDescent="0.2">
      <c r="A419" s="3"/>
      <c r="B419" s="3"/>
      <c r="C419" s="3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customHeight="1" x14ac:dyDescent="0.2">
      <c r="A420" s="3"/>
      <c r="B420" s="3"/>
      <c r="C420" s="3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customHeight="1" x14ac:dyDescent="0.2">
      <c r="A421" s="3"/>
      <c r="B421" s="3"/>
      <c r="C421" s="3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customHeight="1" x14ac:dyDescent="0.2">
      <c r="A422" s="3"/>
      <c r="B422" s="3"/>
      <c r="C422" s="3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customHeight="1" x14ac:dyDescent="0.2">
      <c r="A423" s="3"/>
      <c r="B423" s="3"/>
      <c r="C423" s="3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customHeight="1" x14ac:dyDescent="0.2">
      <c r="A424" s="3"/>
      <c r="B424" s="3"/>
      <c r="C424" s="3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customHeight="1" x14ac:dyDescent="0.2">
      <c r="A425" s="3"/>
      <c r="B425" s="3"/>
      <c r="C425" s="3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customHeight="1" x14ac:dyDescent="0.2">
      <c r="A426" s="3"/>
      <c r="B426" s="3"/>
      <c r="C426" s="3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customHeight="1" x14ac:dyDescent="0.2">
      <c r="A427" s="3"/>
      <c r="B427" s="3"/>
      <c r="C427" s="3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customHeight="1" x14ac:dyDescent="0.2">
      <c r="A428" s="3"/>
      <c r="B428" s="3"/>
      <c r="C428" s="3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customHeight="1" x14ac:dyDescent="0.2">
      <c r="A429" s="3"/>
      <c r="B429" s="3"/>
      <c r="C429" s="3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customHeight="1" x14ac:dyDescent="0.2">
      <c r="A430" s="3"/>
      <c r="B430" s="3"/>
      <c r="C430" s="3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customHeight="1" x14ac:dyDescent="0.2">
      <c r="A431" s="3"/>
      <c r="B431" s="3"/>
      <c r="C431" s="3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customHeight="1" x14ac:dyDescent="0.2">
      <c r="A432" s="3"/>
      <c r="B432" s="3"/>
      <c r="C432" s="3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customHeight="1" x14ac:dyDescent="0.2">
      <c r="A433" s="3"/>
      <c r="B433" s="3"/>
      <c r="C433" s="3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customHeight="1" x14ac:dyDescent="0.2">
      <c r="A434" s="3"/>
      <c r="B434" s="3"/>
      <c r="C434" s="3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customHeight="1" x14ac:dyDescent="0.2">
      <c r="A435" s="3"/>
      <c r="B435" s="3"/>
      <c r="C435" s="3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customHeight="1" x14ac:dyDescent="0.2">
      <c r="A436" s="3"/>
      <c r="B436" s="3"/>
      <c r="C436" s="3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customHeight="1" x14ac:dyDescent="0.2">
      <c r="A437" s="3"/>
      <c r="B437" s="3"/>
      <c r="C437" s="3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customHeight="1" x14ac:dyDescent="0.2">
      <c r="A438" s="3"/>
      <c r="B438" s="3"/>
      <c r="C438" s="3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customHeight="1" x14ac:dyDescent="0.2">
      <c r="A439" s="3"/>
      <c r="B439" s="3"/>
      <c r="C439" s="3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customHeight="1" x14ac:dyDescent="0.2">
      <c r="A440" s="3"/>
      <c r="B440" s="3"/>
      <c r="C440" s="3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customHeight="1" x14ac:dyDescent="0.2">
      <c r="A441" s="3"/>
      <c r="B441" s="3"/>
      <c r="C441" s="3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customHeight="1" x14ac:dyDescent="0.2">
      <c r="A442" s="3"/>
      <c r="B442" s="3"/>
      <c r="C442" s="3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customHeight="1" x14ac:dyDescent="0.2">
      <c r="A443" s="3"/>
      <c r="B443" s="3"/>
      <c r="C443" s="3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customHeight="1" x14ac:dyDescent="0.2">
      <c r="A444" s="3"/>
      <c r="B444" s="3"/>
      <c r="C444" s="3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customHeight="1" x14ac:dyDescent="0.2">
      <c r="A445" s="3"/>
      <c r="B445" s="3"/>
      <c r="C445" s="3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customHeight="1" x14ac:dyDescent="0.2">
      <c r="A446" s="3"/>
      <c r="B446" s="3"/>
      <c r="C446" s="3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customHeight="1" x14ac:dyDescent="0.2">
      <c r="A447" s="3"/>
      <c r="B447" s="3"/>
      <c r="C447" s="3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customHeight="1" x14ac:dyDescent="0.2">
      <c r="A448" s="3"/>
      <c r="B448" s="3"/>
      <c r="C448" s="3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customHeight="1" x14ac:dyDescent="0.2">
      <c r="A449" s="3"/>
      <c r="B449" s="3"/>
      <c r="C449" s="3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customHeight="1" x14ac:dyDescent="0.2">
      <c r="A450" s="3"/>
      <c r="B450" s="3"/>
      <c r="C450" s="3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customHeight="1" x14ac:dyDescent="0.2">
      <c r="A451" s="3"/>
      <c r="B451" s="3"/>
      <c r="C451" s="3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customHeight="1" x14ac:dyDescent="0.2">
      <c r="A452" s="3"/>
      <c r="B452" s="3"/>
      <c r="C452" s="3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customHeight="1" x14ac:dyDescent="0.2">
      <c r="A453" s="3"/>
      <c r="B453" s="3"/>
      <c r="C453" s="3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customHeight="1" x14ac:dyDescent="0.2">
      <c r="A454" s="3"/>
      <c r="B454" s="3"/>
      <c r="C454" s="3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customHeight="1" x14ac:dyDescent="0.2">
      <c r="A455" s="3"/>
      <c r="B455" s="3"/>
      <c r="C455" s="3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customHeight="1" x14ac:dyDescent="0.2">
      <c r="A456" s="3"/>
      <c r="B456" s="3"/>
      <c r="C456" s="3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customHeight="1" x14ac:dyDescent="0.2">
      <c r="A457" s="3"/>
      <c r="B457" s="3"/>
      <c r="C457" s="3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customHeight="1" x14ac:dyDescent="0.2">
      <c r="A458" s="3"/>
      <c r="B458" s="3"/>
      <c r="C458" s="3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customHeight="1" x14ac:dyDescent="0.2">
      <c r="A459" s="3"/>
      <c r="B459" s="3"/>
      <c r="C459" s="3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customHeight="1" x14ac:dyDescent="0.2">
      <c r="A460" s="3"/>
      <c r="B460" s="3"/>
      <c r="C460" s="3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customHeight="1" x14ac:dyDescent="0.2">
      <c r="A461" s="3"/>
      <c r="B461" s="3"/>
      <c r="C461" s="3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customHeight="1" x14ac:dyDescent="0.2">
      <c r="A462" s="3"/>
      <c r="B462" s="3"/>
      <c r="C462" s="3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customHeight="1" x14ac:dyDescent="0.2">
      <c r="A463" s="3"/>
      <c r="B463" s="3"/>
      <c r="C463" s="3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customHeight="1" x14ac:dyDescent="0.2">
      <c r="A464" s="3"/>
      <c r="B464" s="3"/>
      <c r="C464" s="3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customHeight="1" x14ac:dyDescent="0.2">
      <c r="A465" s="3"/>
      <c r="B465" s="3"/>
      <c r="C465" s="3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customHeight="1" x14ac:dyDescent="0.2">
      <c r="A466" s="3"/>
      <c r="B466" s="3"/>
      <c r="C466" s="3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customHeight="1" x14ac:dyDescent="0.2">
      <c r="A467" s="3"/>
      <c r="B467" s="3"/>
      <c r="C467" s="3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customHeight="1" x14ac:dyDescent="0.2">
      <c r="A468" s="3"/>
      <c r="B468" s="3"/>
      <c r="C468" s="3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customHeight="1" x14ac:dyDescent="0.2">
      <c r="A469" s="3"/>
      <c r="B469" s="3"/>
      <c r="C469" s="3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customHeight="1" x14ac:dyDescent="0.2">
      <c r="A470" s="3"/>
      <c r="B470" s="3"/>
      <c r="C470" s="3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customHeight="1" x14ac:dyDescent="0.2">
      <c r="A471" s="3"/>
      <c r="B471" s="3"/>
      <c r="C471" s="3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customHeight="1" x14ac:dyDescent="0.2">
      <c r="A472" s="3"/>
      <c r="B472" s="3"/>
      <c r="C472" s="3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customHeight="1" x14ac:dyDescent="0.2">
      <c r="A473" s="3"/>
      <c r="B473" s="3"/>
      <c r="C473" s="3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customHeight="1" x14ac:dyDescent="0.2">
      <c r="A474" s="3"/>
      <c r="B474" s="3"/>
      <c r="C474" s="3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customHeight="1" x14ac:dyDescent="0.2">
      <c r="A475" s="3"/>
      <c r="B475" s="3"/>
      <c r="C475" s="3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customHeight="1" x14ac:dyDescent="0.2">
      <c r="A476" s="3"/>
      <c r="B476" s="3"/>
      <c r="C476" s="3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customHeight="1" x14ac:dyDescent="0.2">
      <c r="A477" s="3"/>
      <c r="B477" s="3"/>
      <c r="C477" s="3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customHeight="1" x14ac:dyDescent="0.2">
      <c r="A478" s="3"/>
      <c r="B478" s="3"/>
      <c r="C478" s="3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customHeight="1" x14ac:dyDescent="0.2">
      <c r="A479" s="3"/>
      <c r="B479" s="3"/>
      <c r="C479" s="3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customHeight="1" x14ac:dyDescent="0.2">
      <c r="A480" s="3"/>
      <c r="B480" s="3"/>
      <c r="C480" s="3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customHeight="1" x14ac:dyDescent="0.2">
      <c r="A481" s="3"/>
      <c r="B481" s="3"/>
      <c r="C481" s="3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customHeight="1" x14ac:dyDescent="0.2">
      <c r="A482" s="3"/>
      <c r="B482" s="3"/>
      <c r="C482" s="3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customHeight="1" x14ac:dyDescent="0.2">
      <c r="A483" s="3"/>
      <c r="B483" s="3"/>
      <c r="C483" s="3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customHeight="1" x14ac:dyDescent="0.2">
      <c r="A484" s="3"/>
      <c r="B484" s="3"/>
      <c r="C484" s="3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customHeight="1" x14ac:dyDescent="0.2">
      <c r="A485" s="3"/>
      <c r="B485" s="3"/>
      <c r="C485" s="3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customHeight="1" x14ac:dyDescent="0.2">
      <c r="A486" s="3"/>
      <c r="B486" s="3"/>
      <c r="C486" s="3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customHeight="1" x14ac:dyDescent="0.2">
      <c r="A487" s="3"/>
      <c r="B487" s="3"/>
      <c r="C487" s="3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customHeight="1" x14ac:dyDescent="0.2">
      <c r="A488" s="3"/>
      <c r="B488" s="3"/>
      <c r="C488" s="3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customHeight="1" x14ac:dyDescent="0.2">
      <c r="A489" s="3"/>
      <c r="B489" s="3"/>
      <c r="C489" s="3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customHeight="1" x14ac:dyDescent="0.2">
      <c r="A490" s="3"/>
      <c r="B490" s="3"/>
      <c r="C490" s="3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customHeight="1" x14ac:dyDescent="0.2">
      <c r="A491" s="3"/>
      <c r="B491" s="3"/>
      <c r="C491" s="3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customHeight="1" x14ac:dyDescent="0.2">
      <c r="A492" s="3"/>
      <c r="B492" s="3"/>
      <c r="C492" s="3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customHeight="1" x14ac:dyDescent="0.2">
      <c r="A493" s="3"/>
      <c r="B493" s="3"/>
      <c r="C493" s="3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customHeight="1" x14ac:dyDescent="0.2">
      <c r="A494" s="3"/>
      <c r="B494" s="3"/>
      <c r="C494" s="3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customHeight="1" x14ac:dyDescent="0.2">
      <c r="A495" s="3"/>
      <c r="B495" s="3"/>
      <c r="C495" s="3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customHeight="1" x14ac:dyDescent="0.2">
      <c r="A496" s="3"/>
      <c r="B496" s="3"/>
      <c r="C496" s="3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customHeight="1" x14ac:dyDescent="0.2">
      <c r="A497" s="3"/>
      <c r="B497" s="3"/>
      <c r="C497" s="3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customHeight="1" x14ac:dyDescent="0.2">
      <c r="A498" s="3"/>
      <c r="B498" s="3"/>
      <c r="C498" s="3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customHeight="1" x14ac:dyDescent="0.2">
      <c r="A499" s="3"/>
      <c r="B499" s="3"/>
      <c r="C499" s="3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customHeight="1" x14ac:dyDescent="0.2">
      <c r="A500" s="3"/>
      <c r="B500" s="3"/>
      <c r="C500" s="3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customHeight="1" x14ac:dyDescent="0.2">
      <c r="A501" s="3"/>
      <c r="B501" s="3"/>
      <c r="C501" s="3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customHeight="1" x14ac:dyDescent="0.2">
      <c r="A502" s="3"/>
      <c r="B502" s="3"/>
      <c r="C502" s="3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customHeight="1" x14ac:dyDescent="0.2">
      <c r="A503" s="3"/>
      <c r="B503" s="3"/>
      <c r="C503" s="3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customHeight="1" x14ac:dyDescent="0.2">
      <c r="A504" s="3"/>
      <c r="B504" s="3"/>
      <c r="C504" s="3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customHeight="1" x14ac:dyDescent="0.2">
      <c r="A505" s="3"/>
      <c r="B505" s="3"/>
      <c r="C505" s="3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customHeight="1" x14ac:dyDescent="0.2">
      <c r="A506" s="3"/>
      <c r="B506" s="3"/>
      <c r="C506" s="3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customHeight="1" x14ac:dyDescent="0.2">
      <c r="A507" s="3"/>
      <c r="B507" s="3"/>
      <c r="C507" s="3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customHeight="1" x14ac:dyDescent="0.2">
      <c r="A508" s="3"/>
      <c r="B508" s="3"/>
      <c r="C508" s="3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customHeight="1" x14ac:dyDescent="0.2">
      <c r="A509" s="3"/>
      <c r="B509" s="3"/>
      <c r="C509" s="3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customHeight="1" x14ac:dyDescent="0.2">
      <c r="A510" s="3"/>
      <c r="B510" s="3"/>
      <c r="C510" s="3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customHeight="1" x14ac:dyDescent="0.2">
      <c r="A511" s="3"/>
      <c r="B511" s="3"/>
      <c r="C511" s="3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customHeight="1" x14ac:dyDescent="0.2">
      <c r="A512" s="3"/>
      <c r="B512" s="3"/>
      <c r="C512" s="3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customHeight="1" x14ac:dyDescent="0.2">
      <c r="A513" s="3"/>
      <c r="B513" s="3"/>
      <c r="C513" s="3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customHeight="1" x14ac:dyDescent="0.2">
      <c r="A514" s="3"/>
      <c r="B514" s="3"/>
      <c r="C514" s="3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customHeight="1" x14ac:dyDescent="0.2">
      <c r="A515" s="3"/>
      <c r="B515" s="3"/>
      <c r="C515" s="3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customHeight="1" x14ac:dyDescent="0.2">
      <c r="A516" s="3"/>
      <c r="B516" s="3"/>
      <c r="C516" s="3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customHeight="1" x14ac:dyDescent="0.2">
      <c r="A517" s="3"/>
      <c r="B517" s="3"/>
      <c r="C517" s="3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customHeight="1" x14ac:dyDescent="0.2">
      <c r="A518" s="3"/>
      <c r="B518" s="3"/>
      <c r="C518" s="3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customHeight="1" x14ac:dyDescent="0.2">
      <c r="A519" s="3"/>
      <c r="B519" s="3"/>
      <c r="C519" s="3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customHeight="1" x14ac:dyDescent="0.2">
      <c r="A520" s="3"/>
      <c r="B520" s="3"/>
      <c r="C520" s="3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customHeight="1" x14ac:dyDescent="0.2">
      <c r="A521" s="3"/>
      <c r="B521" s="3"/>
      <c r="C521" s="3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customHeight="1" x14ac:dyDescent="0.2">
      <c r="A522" s="3"/>
      <c r="B522" s="3"/>
      <c r="C522" s="3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customHeight="1" x14ac:dyDescent="0.2">
      <c r="A523" s="3"/>
      <c r="B523" s="3"/>
      <c r="C523" s="3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customHeight="1" x14ac:dyDescent="0.2">
      <c r="A524" s="3"/>
      <c r="B524" s="3"/>
      <c r="C524" s="3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customHeight="1" x14ac:dyDescent="0.2">
      <c r="A525" s="3"/>
      <c r="B525" s="3"/>
      <c r="C525" s="3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customHeight="1" x14ac:dyDescent="0.2">
      <c r="A526" s="3"/>
      <c r="B526" s="3"/>
      <c r="C526" s="3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customHeight="1" x14ac:dyDescent="0.2">
      <c r="A527" s="3"/>
      <c r="B527" s="3"/>
      <c r="C527" s="3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customHeight="1" x14ac:dyDescent="0.2">
      <c r="A528" s="3"/>
      <c r="B528" s="3"/>
      <c r="C528" s="3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customHeight="1" x14ac:dyDescent="0.2">
      <c r="A529" s="3"/>
      <c r="B529" s="3"/>
      <c r="C529" s="3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customHeight="1" x14ac:dyDescent="0.2">
      <c r="A530" s="3"/>
      <c r="B530" s="3"/>
      <c r="C530" s="3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customHeight="1" x14ac:dyDescent="0.2">
      <c r="A531" s="3"/>
      <c r="B531" s="3"/>
      <c r="C531" s="3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customHeight="1" x14ac:dyDescent="0.2">
      <c r="A532" s="3"/>
      <c r="B532" s="3"/>
      <c r="C532" s="3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customHeight="1" x14ac:dyDescent="0.2">
      <c r="A533" s="3"/>
      <c r="B533" s="3"/>
      <c r="C533" s="3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customHeight="1" x14ac:dyDescent="0.2">
      <c r="A534" s="3"/>
      <c r="B534" s="3"/>
      <c r="C534" s="3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customHeight="1" x14ac:dyDescent="0.2">
      <c r="A535" s="3"/>
      <c r="B535" s="3"/>
      <c r="C535" s="3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customHeight="1" x14ac:dyDescent="0.2">
      <c r="A536" s="3"/>
      <c r="B536" s="3"/>
      <c r="C536" s="3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customHeight="1" x14ac:dyDescent="0.2">
      <c r="A537" s="3"/>
      <c r="B537" s="3"/>
      <c r="C537" s="3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customHeight="1" x14ac:dyDescent="0.2">
      <c r="A538" s="3"/>
      <c r="B538" s="3"/>
      <c r="C538" s="3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customHeight="1" x14ac:dyDescent="0.2">
      <c r="A539" s="3"/>
      <c r="B539" s="3"/>
      <c r="C539" s="3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customHeight="1" x14ac:dyDescent="0.2">
      <c r="A540" s="3"/>
      <c r="B540" s="3"/>
      <c r="C540" s="3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customHeight="1" x14ac:dyDescent="0.2">
      <c r="A541" s="3"/>
      <c r="B541" s="3"/>
      <c r="C541" s="3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customHeight="1" x14ac:dyDescent="0.2">
      <c r="A542" s="3"/>
      <c r="B542" s="3"/>
      <c r="C542" s="3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customHeight="1" x14ac:dyDescent="0.2">
      <c r="A543" s="3"/>
      <c r="B543" s="3"/>
      <c r="C543" s="3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customHeight="1" x14ac:dyDescent="0.2">
      <c r="A544" s="3"/>
      <c r="B544" s="3"/>
      <c r="C544" s="3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customHeight="1" x14ac:dyDescent="0.2">
      <c r="A545" s="3"/>
      <c r="B545" s="3"/>
      <c r="C545" s="3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customHeight="1" x14ac:dyDescent="0.2">
      <c r="A546" s="3"/>
      <c r="B546" s="3"/>
      <c r="C546" s="3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customHeight="1" x14ac:dyDescent="0.2">
      <c r="A547" s="3"/>
      <c r="B547" s="3"/>
      <c r="C547" s="3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customHeight="1" x14ac:dyDescent="0.2">
      <c r="A548" s="3"/>
      <c r="B548" s="3"/>
      <c r="C548" s="3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customHeight="1" x14ac:dyDescent="0.2">
      <c r="A549" s="3"/>
      <c r="B549" s="3"/>
      <c r="C549" s="3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customHeight="1" x14ac:dyDescent="0.2">
      <c r="A550" s="3"/>
      <c r="B550" s="3"/>
      <c r="C550" s="3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customHeight="1" x14ac:dyDescent="0.2">
      <c r="A551" s="3"/>
      <c r="B551" s="3"/>
      <c r="C551" s="3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customHeight="1" x14ac:dyDescent="0.2">
      <c r="A552" s="3"/>
      <c r="B552" s="3"/>
      <c r="C552" s="3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customHeight="1" x14ac:dyDescent="0.2">
      <c r="A553" s="3"/>
      <c r="B553" s="3"/>
      <c r="C553" s="3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customHeight="1" x14ac:dyDescent="0.2">
      <c r="A554" s="3"/>
      <c r="B554" s="3"/>
      <c r="C554" s="3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customHeight="1" x14ac:dyDescent="0.2">
      <c r="A555" s="3"/>
      <c r="B555" s="3"/>
      <c r="C555" s="3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customHeight="1" x14ac:dyDescent="0.2">
      <c r="A556" s="3"/>
      <c r="B556" s="3"/>
      <c r="C556" s="3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customHeight="1" x14ac:dyDescent="0.2">
      <c r="A557" s="3"/>
      <c r="B557" s="3"/>
      <c r="C557" s="3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customHeight="1" x14ac:dyDescent="0.2">
      <c r="A558" s="3"/>
      <c r="B558" s="3"/>
      <c r="C558" s="3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customHeight="1" x14ac:dyDescent="0.2">
      <c r="A559" s="3"/>
      <c r="B559" s="3"/>
      <c r="C559" s="3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customHeight="1" x14ac:dyDescent="0.2">
      <c r="A560" s="3"/>
      <c r="B560" s="3"/>
      <c r="C560" s="3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customHeight="1" x14ac:dyDescent="0.2">
      <c r="A561" s="3"/>
      <c r="B561" s="3"/>
      <c r="C561" s="3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customHeight="1" x14ac:dyDescent="0.2">
      <c r="A562" s="3"/>
      <c r="B562" s="3"/>
      <c r="C562" s="3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customHeight="1" x14ac:dyDescent="0.2">
      <c r="A563" s="3"/>
      <c r="B563" s="3"/>
      <c r="C563" s="3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customHeight="1" x14ac:dyDescent="0.2">
      <c r="A564" s="3"/>
      <c r="B564" s="3"/>
      <c r="C564" s="3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customHeight="1" x14ac:dyDescent="0.2">
      <c r="A565" s="3"/>
      <c r="B565" s="3"/>
      <c r="C565" s="3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customHeight="1" x14ac:dyDescent="0.2">
      <c r="A566" s="3"/>
      <c r="B566" s="3"/>
      <c r="C566" s="3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customHeight="1" x14ac:dyDescent="0.2">
      <c r="A567" s="3"/>
      <c r="B567" s="3"/>
      <c r="C567" s="3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customHeight="1" x14ac:dyDescent="0.2">
      <c r="A568" s="3"/>
      <c r="B568" s="3"/>
      <c r="C568" s="3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customHeight="1" x14ac:dyDescent="0.2">
      <c r="A569" s="3"/>
      <c r="B569" s="3"/>
      <c r="C569" s="3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customHeight="1" x14ac:dyDescent="0.2">
      <c r="A570" s="3"/>
      <c r="B570" s="3"/>
      <c r="C570" s="3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customHeight="1" x14ac:dyDescent="0.2">
      <c r="A571" s="3"/>
      <c r="B571" s="3"/>
      <c r="C571" s="3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customHeight="1" x14ac:dyDescent="0.2">
      <c r="A572" s="3"/>
      <c r="B572" s="3"/>
      <c r="C572" s="3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customHeight="1" x14ac:dyDescent="0.2">
      <c r="A573" s="3"/>
      <c r="B573" s="3"/>
      <c r="C573" s="3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customHeight="1" x14ac:dyDescent="0.2">
      <c r="A574" s="3"/>
      <c r="B574" s="3"/>
      <c r="C574" s="3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customHeight="1" x14ac:dyDescent="0.2">
      <c r="A575" s="3"/>
      <c r="B575" s="3"/>
      <c r="C575" s="3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customHeight="1" x14ac:dyDescent="0.2">
      <c r="A576" s="3"/>
      <c r="B576" s="3"/>
      <c r="C576" s="3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customHeight="1" x14ac:dyDescent="0.2">
      <c r="A577" s="3"/>
      <c r="B577" s="3"/>
      <c r="C577" s="3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customHeight="1" x14ac:dyDescent="0.2">
      <c r="A578" s="3"/>
      <c r="B578" s="3"/>
      <c r="C578" s="3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customHeight="1" x14ac:dyDescent="0.2">
      <c r="A579" s="3"/>
      <c r="B579" s="3"/>
      <c r="C579" s="3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customHeight="1" x14ac:dyDescent="0.2">
      <c r="A580" s="3"/>
      <c r="B580" s="3"/>
      <c r="C580" s="3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customHeight="1" x14ac:dyDescent="0.2">
      <c r="A581" s="3"/>
      <c r="B581" s="3"/>
      <c r="C581" s="3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customHeight="1" x14ac:dyDescent="0.2">
      <c r="A582" s="3"/>
      <c r="B582" s="3"/>
      <c r="C582" s="3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customHeight="1" x14ac:dyDescent="0.2">
      <c r="A583" s="3"/>
      <c r="B583" s="3"/>
      <c r="C583" s="3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customHeight="1" x14ac:dyDescent="0.2">
      <c r="A584" s="3"/>
      <c r="B584" s="3"/>
      <c r="C584" s="3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customHeight="1" x14ac:dyDescent="0.2">
      <c r="A585" s="3"/>
      <c r="B585" s="3"/>
      <c r="C585" s="3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customHeight="1" x14ac:dyDescent="0.2">
      <c r="A586" s="3"/>
      <c r="B586" s="3"/>
      <c r="C586" s="3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customHeight="1" x14ac:dyDescent="0.2">
      <c r="A587" s="3"/>
      <c r="B587" s="3"/>
      <c r="C587" s="3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customHeight="1" x14ac:dyDescent="0.2">
      <c r="A588" s="3"/>
      <c r="B588" s="3"/>
      <c r="C588" s="3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customHeight="1" x14ac:dyDescent="0.2">
      <c r="A589" s="3"/>
      <c r="B589" s="3"/>
      <c r="C589" s="3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customHeight="1" x14ac:dyDescent="0.2">
      <c r="A590" s="3"/>
      <c r="B590" s="3"/>
      <c r="C590" s="3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customHeight="1" x14ac:dyDescent="0.2">
      <c r="A591" s="3"/>
      <c r="B591" s="3"/>
      <c r="C591" s="3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customHeight="1" x14ac:dyDescent="0.2">
      <c r="A592" s="3"/>
      <c r="B592" s="3"/>
      <c r="C592" s="3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customHeight="1" x14ac:dyDescent="0.2">
      <c r="A593" s="3"/>
      <c r="B593" s="3"/>
      <c r="C593" s="3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customHeight="1" x14ac:dyDescent="0.2">
      <c r="A594" s="3"/>
      <c r="B594" s="3"/>
      <c r="C594" s="3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customHeight="1" x14ac:dyDescent="0.2">
      <c r="A595" s="3"/>
      <c r="B595" s="3"/>
      <c r="C595" s="3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customHeight="1" x14ac:dyDescent="0.2">
      <c r="A596" s="3"/>
      <c r="B596" s="3"/>
      <c r="C596" s="3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customHeight="1" x14ac:dyDescent="0.2">
      <c r="A597" s="3"/>
      <c r="B597" s="3"/>
      <c r="C597" s="3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customHeight="1" x14ac:dyDescent="0.2">
      <c r="A598" s="3"/>
      <c r="B598" s="3"/>
      <c r="C598" s="3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customHeight="1" x14ac:dyDescent="0.2">
      <c r="A599" s="3"/>
      <c r="B599" s="3"/>
      <c r="C599" s="3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customHeight="1" x14ac:dyDescent="0.2">
      <c r="A600" s="3"/>
      <c r="B600" s="3"/>
      <c r="C600" s="3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customHeight="1" x14ac:dyDescent="0.2">
      <c r="A601" s="3"/>
      <c r="B601" s="3"/>
      <c r="C601" s="3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customHeight="1" x14ac:dyDescent="0.2">
      <c r="A602" s="3"/>
      <c r="B602" s="3"/>
      <c r="C602" s="3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customHeight="1" x14ac:dyDescent="0.2">
      <c r="A603" s="3"/>
      <c r="B603" s="3"/>
      <c r="C603" s="3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customHeight="1" x14ac:dyDescent="0.2">
      <c r="A604" s="3"/>
      <c r="B604" s="3"/>
      <c r="C604" s="3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customHeight="1" x14ac:dyDescent="0.2">
      <c r="A605" s="3"/>
      <c r="B605" s="3"/>
      <c r="C605" s="3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customHeight="1" x14ac:dyDescent="0.2">
      <c r="A606" s="3"/>
      <c r="B606" s="3"/>
      <c r="C606" s="3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customHeight="1" x14ac:dyDescent="0.2">
      <c r="A607" s="3"/>
      <c r="B607" s="3"/>
      <c r="C607" s="3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customHeight="1" x14ac:dyDescent="0.2">
      <c r="A608" s="3"/>
      <c r="B608" s="3"/>
      <c r="C608" s="3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customHeight="1" x14ac:dyDescent="0.2">
      <c r="A609" s="3"/>
      <c r="B609" s="3"/>
      <c r="C609" s="3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customHeight="1" x14ac:dyDescent="0.2">
      <c r="A610" s="3"/>
      <c r="B610" s="3"/>
      <c r="C610" s="3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customHeight="1" x14ac:dyDescent="0.2">
      <c r="A611" s="3"/>
      <c r="B611" s="3"/>
      <c r="C611" s="3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customHeight="1" x14ac:dyDescent="0.2">
      <c r="A612" s="3"/>
      <c r="B612" s="3"/>
      <c r="C612" s="3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customHeight="1" x14ac:dyDescent="0.2">
      <c r="A613" s="3"/>
      <c r="B613" s="3"/>
      <c r="C613" s="3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customHeight="1" x14ac:dyDescent="0.2">
      <c r="A614" s="3"/>
      <c r="B614" s="3"/>
      <c r="C614" s="3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customHeight="1" x14ac:dyDescent="0.2">
      <c r="A615" s="3"/>
      <c r="B615" s="3"/>
      <c r="C615" s="3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customHeight="1" x14ac:dyDescent="0.2">
      <c r="A616" s="3"/>
      <c r="B616" s="3"/>
      <c r="C616" s="3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customHeight="1" x14ac:dyDescent="0.2">
      <c r="A617" s="3"/>
      <c r="B617" s="3"/>
      <c r="C617" s="3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customHeight="1" x14ac:dyDescent="0.2">
      <c r="A618" s="3"/>
      <c r="B618" s="3"/>
      <c r="C618" s="3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customHeight="1" x14ac:dyDescent="0.2">
      <c r="A619" s="3"/>
      <c r="B619" s="3"/>
      <c r="C619" s="3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customHeight="1" x14ac:dyDescent="0.2">
      <c r="A620" s="3"/>
      <c r="B620" s="3"/>
      <c r="C620" s="3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customHeight="1" x14ac:dyDescent="0.2">
      <c r="A621" s="3"/>
      <c r="B621" s="3"/>
      <c r="C621" s="3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customHeight="1" x14ac:dyDescent="0.2">
      <c r="A622" s="3"/>
      <c r="B622" s="3"/>
      <c r="C622" s="3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customHeight="1" x14ac:dyDescent="0.2">
      <c r="A623" s="3"/>
      <c r="B623" s="3"/>
      <c r="C623" s="3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customHeight="1" x14ac:dyDescent="0.2">
      <c r="A624" s="3"/>
      <c r="B624" s="3"/>
      <c r="C624" s="3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customHeight="1" x14ac:dyDescent="0.2">
      <c r="A625" s="3"/>
      <c r="B625" s="3"/>
      <c r="C625" s="3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customHeight="1" x14ac:dyDescent="0.2">
      <c r="A626" s="3"/>
      <c r="B626" s="3"/>
      <c r="C626" s="3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customHeight="1" x14ac:dyDescent="0.2">
      <c r="A627" s="3"/>
      <c r="B627" s="3"/>
      <c r="C627" s="3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customHeight="1" x14ac:dyDescent="0.2">
      <c r="A628" s="3"/>
      <c r="B628" s="3"/>
      <c r="C628" s="3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customHeight="1" x14ac:dyDescent="0.2">
      <c r="A629" s="3"/>
      <c r="B629" s="3"/>
      <c r="C629" s="3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customHeight="1" x14ac:dyDescent="0.2">
      <c r="A630" s="3"/>
      <c r="B630" s="3"/>
      <c r="C630" s="3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customHeight="1" x14ac:dyDescent="0.2">
      <c r="A631" s="3"/>
      <c r="B631" s="3"/>
      <c r="C631" s="3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customHeight="1" x14ac:dyDescent="0.2">
      <c r="A632" s="3"/>
      <c r="B632" s="3"/>
      <c r="C632" s="3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customHeight="1" x14ac:dyDescent="0.2">
      <c r="A633" s="3"/>
      <c r="B633" s="3"/>
      <c r="C633" s="3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customHeight="1" x14ac:dyDescent="0.2">
      <c r="A634" s="3"/>
      <c r="B634" s="3"/>
      <c r="C634" s="3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customHeight="1" x14ac:dyDescent="0.2">
      <c r="A635" s="3"/>
      <c r="B635" s="3"/>
      <c r="C635" s="3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customHeight="1" x14ac:dyDescent="0.2">
      <c r="A636" s="3"/>
      <c r="B636" s="3"/>
      <c r="C636" s="3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customHeight="1" x14ac:dyDescent="0.2">
      <c r="A637" s="3"/>
      <c r="B637" s="3"/>
      <c r="C637" s="3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customHeight="1" x14ac:dyDescent="0.2">
      <c r="A638" s="3"/>
      <c r="B638" s="3"/>
      <c r="C638" s="3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customHeight="1" x14ac:dyDescent="0.2">
      <c r="A639" s="3"/>
      <c r="B639" s="3"/>
      <c r="C639" s="3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customHeight="1" x14ac:dyDescent="0.2">
      <c r="A640" s="3"/>
      <c r="B640" s="3"/>
      <c r="C640" s="3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customHeight="1" x14ac:dyDescent="0.2">
      <c r="A641" s="3"/>
      <c r="B641" s="3"/>
      <c r="C641" s="3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customHeight="1" x14ac:dyDescent="0.2">
      <c r="A642" s="3"/>
      <c r="B642" s="3"/>
      <c r="C642" s="3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customHeight="1" x14ac:dyDescent="0.2">
      <c r="A643" s="3"/>
      <c r="B643" s="3"/>
      <c r="C643" s="3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customHeight="1" x14ac:dyDescent="0.2">
      <c r="A644" s="3"/>
      <c r="B644" s="3"/>
      <c r="C644" s="3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customHeight="1" x14ac:dyDescent="0.2">
      <c r="A645" s="3"/>
      <c r="B645" s="3"/>
      <c r="C645" s="3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customHeight="1" x14ac:dyDescent="0.2">
      <c r="A646" s="3"/>
      <c r="B646" s="3"/>
      <c r="C646" s="3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customHeight="1" x14ac:dyDescent="0.2">
      <c r="A647" s="3"/>
      <c r="B647" s="3"/>
      <c r="C647" s="3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customHeight="1" x14ac:dyDescent="0.2">
      <c r="A648" s="3"/>
      <c r="B648" s="3"/>
      <c r="C648" s="3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customHeight="1" x14ac:dyDescent="0.2">
      <c r="A649" s="3"/>
      <c r="B649" s="3"/>
      <c r="C649" s="3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customHeight="1" x14ac:dyDescent="0.2">
      <c r="A650" s="3"/>
      <c r="B650" s="3"/>
      <c r="C650" s="3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customHeight="1" x14ac:dyDescent="0.2">
      <c r="A651" s="3"/>
      <c r="B651" s="3"/>
      <c r="C651" s="3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customHeight="1" x14ac:dyDescent="0.2">
      <c r="A652" s="3"/>
      <c r="B652" s="3"/>
      <c r="C652" s="3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customHeight="1" x14ac:dyDescent="0.2">
      <c r="A653" s="3"/>
      <c r="B653" s="3"/>
      <c r="C653" s="3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customHeight="1" x14ac:dyDescent="0.2">
      <c r="A654" s="3"/>
      <c r="B654" s="3"/>
      <c r="C654" s="3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customHeight="1" x14ac:dyDescent="0.2">
      <c r="A655" s="3"/>
      <c r="B655" s="3"/>
      <c r="C655" s="3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customHeight="1" x14ac:dyDescent="0.2">
      <c r="A656" s="3"/>
      <c r="B656" s="3"/>
      <c r="C656" s="3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customHeight="1" x14ac:dyDescent="0.2">
      <c r="A657" s="3"/>
      <c r="B657" s="3"/>
      <c r="C657" s="3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customHeight="1" x14ac:dyDescent="0.2">
      <c r="A658" s="3"/>
      <c r="B658" s="3"/>
      <c r="C658" s="3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customHeight="1" x14ac:dyDescent="0.2">
      <c r="A659" s="3"/>
      <c r="B659" s="3"/>
      <c r="C659" s="3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customHeight="1" x14ac:dyDescent="0.2">
      <c r="A660" s="3"/>
      <c r="B660" s="3"/>
      <c r="C660" s="3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customHeight="1" x14ac:dyDescent="0.2">
      <c r="A661" s="3"/>
      <c r="B661" s="3"/>
      <c r="C661" s="3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customHeight="1" x14ac:dyDescent="0.2">
      <c r="A662" s="3"/>
      <c r="B662" s="3"/>
      <c r="C662" s="3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customHeight="1" x14ac:dyDescent="0.2">
      <c r="A663" s="3"/>
      <c r="B663" s="3"/>
      <c r="C663" s="3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customHeight="1" x14ac:dyDescent="0.2">
      <c r="A664" s="3"/>
      <c r="B664" s="3"/>
      <c r="C664" s="3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customHeight="1" x14ac:dyDescent="0.2">
      <c r="A665" s="3"/>
      <c r="B665" s="3"/>
      <c r="C665" s="3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customHeight="1" x14ac:dyDescent="0.2">
      <c r="A666" s="3"/>
      <c r="B666" s="3"/>
      <c r="C666" s="3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customHeight="1" x14ac:dyDescent="0.2">
      <c r="A667" s="3"/>
      <c r="B667" s="3"/>
      <c r="C667" s="3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customHeight="1" x14ac:dyDescent="0.2">
      <c r="A668" s="3"/>
      <c r="B668" s="3"/>
      <c r="C668" s="3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customHeight="1" x14ac:dyDescent="0.2">
      <c r="A669" s="3"/>
      <c r="B669" s="3"/>
      <c r="C669" s="3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customHeight="1" x14ac:dyDescent="0.2">
      <c r="A670" s="3"/>
      <c r="B670" s="3"/>
      <c r="C670" s="3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customHeight="1" x14ac:dyDescent="0.2">
      <c r="A671" s="3"/>
      <c r="B671" s="3"/>
      <c r="C671" s="3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customHeight="1" x14ac:dyDescent="0.2">
      <c r="A672" s="3"/>
      <c r="B672" s="3"/>
      <c r="C672" s="3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customHeight="1" x14ac:dyDescent="0.2">
      <c r="A673" s="3"/>
      <c r="B673" s="3"/>
      <c r="C673" s="3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customHeight="1" x14ac:dyDescent="0.2">
      <c r="A674" s="3"/>
      <c r="B674" s="3"/>
      <c r="C674" s="3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customHeight="1" x14ac:dyDescent="0.2">
      <c r="A675" s="3"/>
      <c r="B675" s="3"/>
      <c r="C675" s="3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customHeight="1" x14ac:dyDescent="0.2">
      <c r="A676" s="3"/>
      <c r="B676" s="3"/>
      <c r="C676" s="3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customHeight="1" x14ac:dyDescent="0.2">
      <c r="A677" s="3"/>
      <c r="B677" s="3"/>
      <c r="C677" s="3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customHeight="1" x14ac:dyDescent="0.2">
      <c r="A678" s="3"/>
      <c r="B678" s="3"/>
      <c r="C678" s="3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customHeight="1" x14ac:dyDescent="0.2">
      <c r="A679" s="3"/>
      <c r="B679" s="3"/>
      <c r="C679" s="3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customHeight="1" x14ac:dyDescent="0.2">
      <c r="A680" s="3"/>
      <c r="B680" s="3"/>
      <c r="C680" s="3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customHeight="1" x14ac:dyDescent="0.2">
      <c r="A681" s="3"/>
      <c r="B681" s="3"/>
      <c r="C681" s="3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customHeight="1" x14ac:dyDescent="0.2">
      <c r="A682" s="3"/>
      <c r="B682" s="3"/>
      <c r="C682" s="3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customHeight="1" x14ac:dyDescent="0.2">
      <c r="A683" s="3"/>
      <c r="B683" s="3"/>
      <c r="C683" s="3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customHeight="1" x14ac:dyDescent="0.2">
      <c r="A684" s="3"/>
      <c r="B684" s="3"/>
      <c r="C684" s="3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customHeight="1" x14ac:dyDescent="0.2">
      <c r="A685" s="3"/>
      <c r="B685" s="3"/>
      <c r="C685" s="3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customHeight="1" x14ac:dyDescent="0.2">
      <c r="A686" s="3"/>
      <c r="B686" s="3"/>
      <c r="C686" s="3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customHeight="1" x14ac:dyDescent="0.2">
      <c r="A687" s="3"/>
      <c r="B687" s="3"/>
      <c r="C687" s="3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customHeight="1" x14ac:dyDescent="0.2">
      <c r="A688" s="3"/>
      <c r="B688" s="3"/>
      <c r="C688" s="3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customHeight="1" x14ac:dyDescent="0.2">
      <c r="A689" s="3"/>
      <c r="B689" s="3"/>
      <c r="C689" s="3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customHeight="1" x14ac:dyDescent="0.2">
      <c r="A690" s="3"/>
      <c r="B690" s="3"/>
      <c r="C690" s="3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customHeight="1" x14ac:dyDescent="0.2">
      <c r="A691" s="3"/>
      <c r="B691" s="3"/>
      <c r="C691" s="3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customHeight="1" x14ac:dyDescent="0.2">
      <c r="A692" s="3"/>
      <c r="B692" s="3"/>
      <c r="C692" s="3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customHeight="1" x14ac:dyDescent="0.2">
      <c r="A693" s="3"/>
      <c r="B693" s="3"/>
      <c r="C693" s="3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customHeight="1" x14ac:dyDescent="0.2">
      <c r="A694" s="3"/>
      <c r="B694" s="3"/>
      <c r="C694" s="3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customHeight="1" x14ac:dyDescent="0.2">
      <c r="A695" s="3"/>
      <c r="B695" s="3"/>
      <c r="C695" s="3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customHeight="1" x14ac:dyDescent="0.2">
      <c r="A696" s="3"/>
      <c r="B696" s="3"/>
      <c r="C696" s="3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customHeight="1" x14ac:dyDescent="0.2">
      <c r="A697" s="3"/>
      <c r="B697" s="3"/>
      <c r="C697" s="3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customHeight="1" x14ac:dyDescent="0.2">
      <c r="A698" s="3"/>
      <c r="B698" s="3"/>
      <c r="C698" s="3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customHeight="1" x14ac:dyDescent="0.2">
      <c r="A699" s="3"/>
      <c r="B699" s="3"/>
      <c r="C699" s="3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customHeight="1" x14ac:dyDescent="0.2">
      <c r="A700" s="3"/>
      <c r="B700" s="3"/>
      <c r="C700" s="3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customHeight="1" x14ac:dyDescent="0.2">
      <c r="A701" s="3"/>
      <c r="B701" s="3"/>
      <c r="C701" s="3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customHeight="1" x14ac:dyDescent="0.2">
      <c r="A702" s="3"/>
      <c r="B702" s="3"/>
      <c r="C702" s="3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customHeight="1" x14ac:dyDescent="0.2">
      <c r="A703" s="3"/>
      <c r="B703" s="3"/>
      <c r="C703" s="3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customHeight="1" x14ac:dyDescent="0.2">
      <c r="A704" s="3"/>
      <c r="B704" s="3"/>
      <c r="C704" s="3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customHeight="1" x14ac:dyDescent="0.2">
      <c r="A705" s="3"/>
      <c r="B705" s="3"/>
      <c r="C705" s="3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customHeight="1" x14ac:dyDescent="0.2">
      <c r="A706" s="3"/>
      <c r="B706" s="3"/>
      <c r="C706" s="3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customHeight="1" x14ac:dyDescent="0.2">
      <c r="A707" s="3"/>
      <c r="B707" s="3"/>
      <c r="C707" s="3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customHeight="1" x14ac:dyDescent="0.2">
      <c r="A708" s="3"/>
      <c r="B708" s="3"/>
      <c r="C708" s="3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customHeight="1" x14ac:dyDescent="0.2">
      <c r="A709" s="3"/>
      <c r="B709" s="3"/>
      <c r="C709" s="3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customHeight="1" x14ac:dyDescent="0.2">
      <c r="A710" s="3"/>
      <c r="B710" s="3"/>
      <c r="C710" s="3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customHeight="1" x14ac:dyDescent="0.2">
      <c r="A711" s="3"/>
      <c r="B711" s="3"/>
      <c r="C711" s="3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customHeight="1" x14ac:dyDescent="0.2">
      <c r="A712" s="3"/>
      <c r="B712" s="3"/>
      <c r="C712" s="3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customHeight="1" x14ac:dyDescent="0.2">
      <c r="A713" s="3"/>
      <c r="B713" s="3"/>
      <c r="C713" s="3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customHeight="1" x14ac:dyDescent="0.2">
      <c r="A714" s="3"/>
      <c r="B714" s="3"/>
      <c r="C714" s="3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customHeight="1" x14ac:dyDescent="0.2">
      <c r="A715" s="3"/>
      <c r="B715" s="3"/>
      <c r="C715" s="3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customHeight="1" x14ac:dyDescent="0.2">
      <c r="A716" s="3"/>
      <c r="B716" s="3"/>
      <c r="C716" s="3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customHeight="1" x14ac:dyDescent="0.2">
      <c r="A717" s="3"/>
      <c r="B717" s="3"/>
      <c r="C717" s="3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customHeight="1" x14ac:dyDescent="0.2">
      <c r="A718" s="3"/>
      <c r="B718" s="3"/>
      <c r="C718" s="3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customHeight="1" x14ac:dyDescent="0.2">
      <c r="A719" s="3"/>
      <c r="B719" s="3"/>
      <c r="C719" s="3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customHeight="1" x14ac:dyDescent="0.2">
      <c r="A720" s="3"/>
      <c r="B720" s="3"/>
      <c r="C720" s="3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customHeight="1" x14ac:dyDescent="0.2">
      <c r="A721" s="3"/>
      <c r="B721" s="3"/>
      <c r="C721" s="3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customHeight="1" x14ac:dyDescent="0.2">
      <c r="A722" s="3"/>
      <c r="B722" s="3"/>
      <c r="C722" s="3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customHeight="1" x14ac:dyDescent="0.2">
      <c r="A723" s="3"/>
      <c r="B723" s="3"/>
      <c r="C723" s="3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customHeight="1" x14ac:dyDescent="0.2">
      <c r="A724" s="3"/>
      <c r="B724" s="3"/>
      <c r="C724" s="3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customHeight="1" x14ac:dyDescent="0.2">
      <c r="A725" s="3"/>
      <c r="B725" s="3"/>
      <c r="C725" s="3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customHeight="1" x14ac:dyDescent="0.2">
      <c r="A726" s="3"/>
      <c r="B726" s="3"/>
      <c r="C726" s="3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customHeight="1" x14ac:dyDescent="0.2">
      <c r="A727" s="3"/>
      <c r="B727" s="3"/>
      <c r="C727" s="3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customHeight="1" x14ac:dyDescent="0.2">
      <c r="A728" s="3"/>
      <c r="B728" s="3"/>
      <c r="C728" s="3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customHeight="1" x14ac:dyDescent="0.2">
      <c r="A729" s="3"/>
      <c r="B729" s="3"/>
      <c r="C729" s="3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customHeight="1" x14ac:dyDescent="0.2">
      <c r="A730" s="3"/>
      <c r="B730" s="3"/>
      <c r="C730" s="3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customHeight="1" x14ac:dyDescent="0.2">
      <c r="A731" s="3"/>
      <c r="B731" s="3"/>
      <c r="C731" s="3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customHeight="1" x14ac:dyDescent="0.2">
      <c r="A732" s="3"/>
      <c r="B732" s="3"/>
      <c r="C732" s="3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customHeight="1" x14ac:dyDescent="0.2">
      <c r="A733" s="3"/>
      <c r="B733" s="3"/>
      <c r="C733" s="3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customHeight="1" x14ac:dyDescent="0.2">
      <c r="A734" s="3"/>
      <c r="B734" s="3"/>
      <c r="C734" s="3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customHeight="1" x14ac:dyDescent="0.2">
      <c r="A735" s="3"/>
      <c r="B735" s="3"/>
      <c r="C735" s="3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customHeight="1" x14ac:dyDescent="0.2">
      <c r="A736" s="3"/>
      <c r="B736" s="3"/>
      <c r="C736" s="3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customHeight="1" x14ac:dyDescent="0.2">
      <c r="A737" s="3"/>
      <c r="B737" s="3"/>
      <c r="C737" s="3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customHeight="1" x14ac:dyDescent="0.2">
      <c r="A738" s="3"/>
      <c r="B738" s="3"/>
      <c r="C738" s="3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customHeight="1" x14ac:dyDescent="0.2">
      <c r="A739" s="3"/>
      <c r="B739" s="3"/>
      <c r="C739" s="3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customHeight="1" x14ac:dyDescent="0.2">
      <c r="A740" s="3"/>
      <c r="B740" s="3"/>
      <c r="C740" s="3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customHeight="1" x14ac:dyDescent="0.2">
      <c r="A741" s="3"/>
      <c r="B741" s="3"/>
      <c r="C741" s="3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customHeight="1" x14ac:dyDescent="0.2">
      <c r="A742" s="3"/>
      <c r="B742" s="3"/>
      <c r="C742" s="3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customHeight="1" x14ac:dyDescent="0.2">
      <c r="A743" s="3"/>
      <c r="B743" s="3"/>
      <c r="C743" s="3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customHeight="1" x14ac:dyDescent="0.2">
      <c r="A744" s="3"/>
      <c r="B744" s="3"/>
      <c r="C744" s="3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customHeight="1" x14ac:dyDescent="0.2">
      <c r="A745" s="3"/>
      <c r="B745" s="3"/>
      <c r="C745" s="3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customHeight="1" x14ac:dyDescent="0.2">
      <c r="A746" s="3"/>
      <c r="B746" s="3"/>
      <c r="C746" s="3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customHeight="1" x14ac:dyDescent="0.2">
      <c r="A747" s="3"/>
      <c r="B747" s="3"/>
      <c r="C747" s="3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customHeight="1" x14ac:dyDescent="0.2">
      <c r="A748" s="3"/>
      <c r="B748" s="3"/>
      <c r="C748" s="3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customHeight="1" x14ac:dyDescent="0.2">
      <c r="A749" s="3"/>
      <c r="B749" s="3"/>
      <c r="C749" s="3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customHeight="1" x14ac:dyDescent="0.2">
      <c r="A750" s="3"/>
      <c r="B750" s="3"/>
      <c r="C750" s="3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customHeight="1" x14ac:dyDescent="0.2">
      <c r="A751" s="3"/>
      <c r="B751" s="3"/>
      <c r="C751" s="3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customHeight="1" x14ac:dyDescent="0.2">
      <c r="A752" s="3"/>
      <c r="B752" s="3"/>
      <c r="C752" s="3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customHeight="1" x14ac:dyDescent="0.2">
      <c r="A753" s="3"/>
      <c r="B753" s="3"/>
      <c r="C753" s="3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customHeight="1" x14ac:dyDescent="0.2">
      <c r="A754" s="3"/>
      <c r="B754" s="3"/>
      <c r="C754" s="3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customHeight="1" x14ac:dyDescent="0.2">
      <c r="A755" s="3"/>
      <c r="B755" s="3"/>
      <c r="C755" s="3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customHeight="1" x14ac:dyDescent="0.2">
      <c r="A756" s="3"/>
      <c r="B756" s="3"/>
      <c r="C756" s="3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customHeight="1" x14ac:dyDescent="0.2">
      <c r="A757" s="3"/>
      <c r="B757" s="3"/>
      <c r="C757" s="3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customHeight="1" x14ac:dyDescent="0.2">
      <c r="A758" s="3"/>
      <c r="B758" s="3"/>
      <c r="C758" s="3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customHeight="1" x14ac:dyDescent="0.2">
      <c r="A759" s="3"/>
      <c r="B759" s="3"/>
      <c r="C759" s="3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customHeight="1" x14ac:dyDescent="0.2">
      <c r="A760" s="3"/>
      <c r="B760" s="3"/>
      <c r="C760" s="3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customHeight="1" x14ac:dyDescent="0.2">
      <c r="A761" s="3"/>
      <c r="B761" s="3"/>
      <c r="C761" s="3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customHeight="1" x14ac:dyDescent="0.2">
      <c r="A762" s="3"/>
      <c r="B762" s="3"/>
      <c r="C762" s="3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customHeight="1" x14ac:dyDescent="0.2">
      <c r="A763" s="3"/>
      <c r="B763" s="3"/>
      <c r="C763" s="3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customHeight="1" x14ac:dyDescent="0.2">
      <c r="A764" s="3"/>
      <c r="B764" s="3"/>
      <c r="C764" s="3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customHeight="1" x14ac:dyDescent="0.2">
      <c r="A765" s="3"/>
      <c r="B765" s="3"/>
      <c r="C765" s="3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customHeight="1" x14ac:dyDescent="0.2">
      <c r="A766" s="3"/>
      <c r="B766" s="3"/>
      <c r="C766" s="3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customHeight="1" x14ac:dyDescent="0.2">
      <c r="A767" s="3"/>
      <c r="B767" s="3"/>
      <c r="C767" s="3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customHeight="1" x14ac:dyDescent="0.2">
      <c r="A768" s="3"/>
      <c r="B768" s="3"/>
      <c r="C768" s="3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customHeight="1" x14ac:dyDescent="0.2">
      <c r="A769" s="3"/>
      <c r="B769" s="3"/>
      <c r="C769" s="3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customHeight="1" x14ac:dyDescent="0.2">
      <c r="A770" s="3"/>
      <c r="B770" s="3"/>
      <c r="C770" s="3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customHeight="1" x14ac:dyDescent="0.2">
      <c r="A771" s="3"/>
      <c r="B771" s="3"/>
      <c r="C771" s="3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customHeight="1" x14ac:dyDescent="0.2">
      <c r="A772" s="3"/>
      <c r="B772" s="3"/>
      <c r="C772" s="3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customHeight="1" x14ac:dyDescent="0.2">
      <c r="A773" s="3"/>
      <c r="B773" s="3"/>
      <c r="C773" s="3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customHeight="1" x14ac:dyDescent="0.2">
      <c r="A774" s="3"/>
      <c r="B774" s="3"/>
      <c r="C774" s="3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customHeight="1" x14ac:dyDescent="0.2">
      <c r="A775" s="3"/>
      <c r="B775" s="3"/>
      <c r="C775" s="3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customHeight="1" x14ac:dyDescent="0.2">
      <c r="A776" s="3"/>
      <c r="B776" s="3"/>
      <c r="C776" s="3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customHeight="1" x14ac:dyDescent="0.2">
      <c r="A777" s="3"/>
      <c r="B777" s="3"/>
      <c r="C777" s="3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customHeight="1" x14ac:dyDescent="0.2">
      <c r="A778" s="3"/>
      <c r="B778" s="3"/>
      <c r="C778" s="3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customHeight="1" x14ac:dyDescent="0.2">
      <c r="A779" s="3"/>
      <c r="B779" s="3"/>
      <c r="C779" s="3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customHeight="1" x14ac:dyDescent="0.2">
      <c r="A780" s="3"/>
      <c r="B780" s="3"/>
      <c r="C780" s="3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customHeight="1" x14ac:dyDescent="0.2">
      <c r="A781" s="3"/>
      <c r="B781" s="3"/>
      <c r="C781" s="3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customHeight="1" x14ac:dyDescent="0.2">
      <c r="A782" s="3"/>
      <c r="B782" s="3"/>
      <c r="C782" s="3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customHeight="1" x14ac:dyDescent="0.2">
      <c r="A783" s="3"/>
      <c r="B783" s="3"/>
      <c r="C783" s="3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customHeight="1" x14ac:dyDescent="0.2">
      <c r="A784" s="3"/>
      <c r="B784" s="3"/>
      <c r="C784" s="3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customHeight="1" x14ac:dyDescent="0.2">
      <c r="A785" s="3"/>
      <c r="B785" s="3"/>
      <c r="C785" s="3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customHeight="1" x14ac:dyDescent="0.2">
      <c r="A786" s="3"/>
      <c r="B786" s="3"/>
      <c r="C786" s="3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customHeight="1" x14ac:dyDescent="0.2">
      <c r="A787" s="3"/>
      <c r="B787" s="3"/>
      <c r="C787" s="3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customHeight="1" x14ac:dyDescent="0.2">
      <c r="A788" s="3"/>
      <c r="B788" s="3"/>
      <c r="C788" s="3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customHeight="1" x14ac:dyDescent="0.2">
      <c r="A789" s="3"/>
      <c r="B789" s="3"/>
      <c r="C789" s="3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customHeight="1" x14ac:dyDescent="0.2">
      <c r="A790" s="3"/>
      <c r="B790" s="3"/>
      <c r="C790" s="3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customHeight="1" x14ac:dyDescent="0.2">
      <c r="A791" s="3"/>
      <c r="B791" s="3"/>
      <c r="C791" s="3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customHeight="1" x14ac:dyDescent="0.2">
      <c r="A792" s="3"/>
      <c r="B792" s="3"/>
      <c r="C792" s="3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customHeight="1" x14ac:dyDescent="0.2">
      <c r="A793" s="3"/>
      <c r="B793" s="3"/>
      <c r="C793" s="3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customHeight="1" x14ac:dyDescent="0.2">
      <c r="A794" s="3"/>
      <c r="B794" s="3"/>
      <c r="C794" s="3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customHeight="1" x14ac:dyDescent="0.2">
      <c r="A795" s="3"/>
      <c r="B795" s="3"/>
      <c r="C795" s="3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customHeight="1" x14ac:dyDescent="0.2">
      <c r="A796" s="3"/>
      <c r="B796" s="3"/>
      <c r="C796" s="3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customHeight="1" x14ac:dyDescent="0.2">
      <c r="A797" s="3"/>
      <c r="B797" s="3"/>
      <c r="C797" s="3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customHeight="1" x14ac:dyDescent="0.2">
      <c r="A798" s="3"/>
      <c r="B798" s="3"/>
      <c r="C798" s="3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customHeight="1" x14ac:dyDescent="0.2">
      <c r="A799" s="3"/>
      <c r="B799" s="3"/>
      <c r="C799" s="3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customHeight="1" x14ac:dyDescent="0.2">
      <c r="A800" s="3"/>
      <c r="B800" s="3"/>
      <c r="C800" s="3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customHeight="1" x14ac:dyDescent="0.2">
      <c r="A801" s="3"/>
      <c r="B801" s="3"/>
      <c r="C801" s="3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customHeight="1" x14ac:dyDescent="0.2">
      <c r="A802" s="3"/>
      <c r="B802" s="3"/>
      <c r="C802" s="3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customHeight="1" x14ac:dyDescent="0.2">
      <c r="A803" s="3"/>
      <c r="B803" s="3"/>
      <c r="C803" s="3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customHeight="1" x14ac:dyDescent="0.2">
      <c r="A804" s="3"/>
      <c r="B804" s="3"/>
      <c r="C804" s="3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customHeight="1" x14ac:dyDescent="0.2">
      <c r="A805" s="3"/>
      <c r="B805" s="3"/>
      <c r="C805" s="3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customHeight="1" x14ac:dyDescent="0.2">
      <c r="A806" s="3"/>
      <c r="B806" s="3"/>
      <c r="C806" s="3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customHeight="1" x14ac:dyDescent="0.2">
      <c r="A807" s="3"/>
      <c r="B807" s="3"/>
      <c r="C807" s="3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customHeight="1" x14ac:dyDescent="0.2">
      <c r="A808" s="3"/>
      <c r="B808" s="3"/>
      <c r="C808" s="3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customHeight="1" x14ac:dyDescent="0.2">
      <c r="A809" s="3"/>
      <c r="B809" s="3"/>
      <c r="C809" s="3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customHeight="1" x14ac:dyDescent="0.2">
      <c r="A810" s="3"/>
      <c r="B810" s="3"/>
      <c r="C810" s="3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customHeight="1" x14ac:dyDescent="0.2">
      <c r="A811" s="3"/>
      <c r="B811" s="3"/>
      <c r="C811" s="3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customHeight="1" x14ac:dyDescent="0.2">
      <c r="A812" s="3"/>
      <c r="B812" s="3"/>
      <c r="C812" s="3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customHeight="1" x14ac:dyDescent="0.2">
      <c r="A813" s="3"/>
      <c r="B813" s="3"/>
      <c r="C813" s="3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customHeight="1" x14ac:dyDescent="0.2">
      <c r="A814" s="3"/>
      <c r="B814" s="3"/>
      <c r="C814" s="3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customHeight="1" x14ac:dyDescent="0.2">
      <c r="A815" s="3"/>
      <c r="B815" s="3"/>
      <c r="C815" s="3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customHeight="1" x14ac:dyDescent="0.2">
      <c r="A816" s="3"/>
      <c r="B816" s="3"/>
      <c r="C816" s="3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customHeight="1" x14ac:dyDescent="0.2">
      <c r="A817" s="3"/>
      <c r="B817" s="3"/>
      <c r="C817" s="3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customHeight="1" x14ac:dyDescent="0.2">
      <c r="A818" s="3"/>
      <c r="B818" s="3"/>
      <c r="C818" s="3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customHeight="1" x14ac:dyDescent="0.2">
      <c r="A819" s="3"/>
      <c r="B819" s="3"/>
      <c r="C819" s="3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customHeight="1" x14ac:dyDescent="0.2">
      <c r="A820" s="3"/>
      <c r="B820" s="3"/>
      <c r="C820" s="3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customHeight="1" x14ac:dyDescent="0.2">
      <c r="A821" s="3"/>
      <c r="B821" s="3"/>
      <c r="C821" s="3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customHeight="1" x14ac:dyDescent="0.2">
      <c r="A822" s="3"/>
      <c r="B822" s="3"/>
      <c r="C822" s="3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customHeight="1" x14ac:dyDescent="0.2">
      <c r="A823" s="3"/>
      <c r="B823" s="3"/>
      <c r="C823" s="3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customHeight="1" x14ac:dyDescent="0.2">
      <c r="A824" s="3"/>
      <c r="B824" s="3"/>
      <c r="C824" s="3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customHeight="1" x14ac:dyDescent="0.2">
      <c r="A825" s="3"/>
      <c r="B825" s="3"/>
      <c r="C825" s="3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customHeight="1" x14ac:dyDescent="0.2">
      <c r="A826" s="3"/>
      <c r="B826" s="3"/>
      <c r="C826" s="3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customHeight="1" x14ac:dyDescent="0.2">
      <c r="A827" s="3"/>
      <c r="B827" s="3"/>
      <c r="C827" s="3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customHeight="1" x14ac:dyDescent="0.2">
      <c r="A828" s="3"/>
      <c r="B828" s="3"/>
      <c r="C828" s="3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customHeight="1" x14ac:dyDescent="0.2">
      <c r="A829" s="3"/>
      <c r="B829" s="3"/>
      <c r="C829" s="3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customHeight="1" x14ac:dyDescent="0.2">
      <c r="A830" s="3"/>
      <c r="B830" s="3"/>
      <c r="C830" s="3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customHeight="1" x14ac:dyDescent="0.2">
      <c r="A831" s="3"/>
      <c r="B831" s="3"/>
      <c r="C831" s="3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customHeight="1" x14ac:dyDescent="0.2">
      <c r="A832" s="3"/>
      <c r="B832" s="3"/>
      <c r="C832" s="3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customHeight="1" x14ac:dyDescent="0.2">
      <c r="A833" s="3"/>
      <c r="B833" s="3"/>
      <c r="C833" s="3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customHeight="1" x14ac:dyDescent="0.2">
      <c r="A834" s="3"/>
      <c r="B834" s="3"/>
      <c r="C834" s="3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customHeight="1" x14ac:dyDescent="0.2">
      <c r="A835" s="3"/>
      <c r="B835" s="3"/>
      <c r="C835" s="3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customHeight="1" x14ac:dyDescent="0.2">
      <c r="A836" s="3"/>
      <c r="B836" s="3"/>
      <c r="C836" s="3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customHeight="1" x14ac:dyDescent="0.2">
      <c r="A837" s="3"/>
      <c r="B837" s="3"/>
      <c r="C837" s="3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customHeight="1" x14ac:dyDescent="0.2">
      <c r="A838" s="3"/>
      <c r="B838" s="3"/>
      <c r="C838" s="3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customHeight="1" x14ac:dyDescent="0.2">
      <c r="A839" s="3"/>
      <c r="B839" s="3"/>
      <c r="C839" s="3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customHeight="1" x14ac:dyDescent="0.2">
      <c r="A840" s="3"/>
      <c r="B840" s="3"/>
      <c r="C840" s="3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customHeight="1" x14ac:dyDescent="0.2">
      <c r="A841" s="3"/>
      <c r="B841" s="3"/>
      <c r="C841" s="3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customHeight="1" x14ac:dyDescent="0.2">
      <c r="A842" s="3"/>
      <c r="B842" s="3"/>
      <c r="C842" s="3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customHeight="1" x14ac:dyDescent="0.2">
      <c r="A843" s="3"/>
      <c r="B843" s="3"/>
      <c r="C843" s="3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customHeight="1" x14ac:dyDescent="0.2">
      <c r="A844" s="3"/>
      <c r="B844" s="3"/>
      <c r="C844" s="3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customHeight="1" x14ac:dyDescent="0.2">
      <c r="A845" s="3"/>
      <c r="B845" s="3"/>
      <c r="C845" s="3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customHeight="1" x14ac:dyDescent="0.2">
      <c r="A846" s="3"/>
      <c r="B846" s="3"/>
      <c r="C846" s="3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customHeight="1" x14ac:dyDescent="0.2">
      <c r="A847" s="3"/>
      <c r="B847" s="3"/>
      <c r="C847" s="3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customHeight="1" x14ac:dyDescent="0.2">
      <c r="A848" s="3"/>
      <c r="B848" s="3"/>
      <c r="C848" s="3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customHeight="1" x14ac:dyDescent="0.2">
      <c r="A849" s="3"/>
      <c r="B849" s="3"/>
      <c r="C849" s="3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customHeight="1" x14ac:dyDescent="0.2">
      <c r="A850" s="3"/>
      <c r="B850" s="3"/>
      <c r="C850" s="3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customHeight="1" x14ac:dyDescent="0.2">
      <c r="A851" s="3"/>
      <c r="B851" s="3"/>
      <c r="C851" s="3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customHeight="1" x14ac:dyDescent="0.2">
      <c r="A852" s="3"/>
      <c r="B852" s="3"/>
      <c r="C852" s="3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customHeight="1" x14ac:dyDescent="0.2">
      <c r="A853" s="3"/>
      <c r="B853" s="3"/>
      <c r="C853" s="3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customHeight="1" x14ac:dyDescent="0.2">
      <c r="A854" s="3"/>
      <c r="B854" s="3"/>
      <c r="C854" s="3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customHeight="1" x14ac:dyDescent="0.2">
      <c r="A855" s="3"/>
      <c r="B855" s="3"/>
      <c r="C855" s="3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customHeight="1" x14ac:dyDescent="0.2">
      <c r="A856" s="3"/>
      <c r="B856" s="3"/>
      <c r="C856" s="3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customHeight="1" x14ac:dyDescent="0.2">
      <c r="A857" s="3"/>
      <c r="B857" s="3"/>
      <c r="C857" s="3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customHeight="1" x14ac:dyDescent="0.2">
      <c r="A858" s="3"/>
      <c r="B858" s="3"/>
      <c r="C858" s="3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customHeight="1" x14ac:dyDescent="0.2">
      <c r="A859" s="3"/>
      <c r="B859" s="3"/>
      <c r="C859" s="3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customHeight="1" x14ac:dyDescent="0.2">
      <c r="A860" s="3"/>
      <c r="B860" s="3"/>
      <c r="C860" s="3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customHeight="1" x14ac:dyDescent="0.2">
      <c r="A861" s="3"/>
      <c r="B861" s="3"/>
      <c r="C861" s="3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customHeight="1" x14ac:dyDescent="0.2">
      <c r="A862" s="3"/>
      <c r="B862" s="3"/>
      <c r="C862" s="3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customHeight="1" x14ac:dyDescent="0.2">
      <c r="A863" s="3"/>
      <c r="B863" s="3"/>
      <c r="C863" s="3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customHeight="1" x14ac:dyDescent="0.2">
      <c r="A864" s="3"/>
      <c r="B864" s="3"/>
      <c r="C864" s="3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customHeight="1" x14ac:dyDescent="0.2">
      <c r="A865" s="3"/>
      <c r="B865" s="3"/>
      <c r="C865" s="3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customHeight="1" x14ac:dyDescent="0.2">
      <c r="A866" s="3"/>
      <c r="B866" s="3"/>
      <c r="C866" s="3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customHeight="1" x14ac:dyDescent="0.2">
      <c r="A867" s="3"/>
      <c r="B867" s="3"/>
      <c r="C867" s="3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customHeight="1" x14ac:dyDescent="0.2">
      <c r="A868" s="3"/>
      <c r="B868" s="3"/>
      <c r="C868" s="3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customHeight="1" x14ac:dyDescent="0.2">
      <c r="A869" s="3"/>
      <c r="B869" s="3"/>
      <c r="C869" s="3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customHeight="1" x14ac:dyDescent="0.2">
      <c r="A870" s="3"/>
      <c r="B870" s="3"/>
      <c r="C870" s="3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customHeight="1" x14ac:dyDescent="0.2">
      <c r="A871" s="3"/>
      <c r="B871" s="3"/>
      <c r="C871" s="3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customHeight="1" x14ac:dyDescent="0.2">
      <c r="A872" s="3"/>
      <c r="B872" s="3"/>
      <c r="C872" s="3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customHeight="1" x14ac:dyDescent="0.2">
      <c r="A873" s="3"/>
      <c r="B873" s="3"/>
      <c r="C873" s="3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customHeight="1" x14ac:dyDescent="0.2">
      <c r="A874" s="3"/>
      <c r="B874" s="3"/>
      <c r="C874" s="3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customHeight="1" x14ac:dyDescent="0.2">
      <c r="A875" s="3"/>
      <c r="B875" s="3"/>
      <c r="C875" s="3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customHeight="1" x14ac:dyDescent="0.2">
      <c r="A876" s="3"/>
      <c r="B876" s="3"/>
      <c r="C876" s="3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customHeight="1" x14ac:dyDescent="0.2">
      <c r="A877" s="3"/>
      <c r="B877" s="3"/>
      <c r="C877" s="3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customHeight="1" x14ac:dyDescent="0.2">
      <c r="A878" s="3"/>
      <c r="B878" s="3"/>
      <c r="C878" s="3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customHeight="1" x14ac:dyDescent="0.2">
      <c r="A879" s="3"/>
      <c r="B879" s="3"/>
      <c r="C879" s="3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customHeight="1" x14ac:dyDescent="0.2">
      <c r="A880" s="3"/>
      <c r="B880" s="3"/>
      <c r="C880" s="3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customHeight="1" x14ac:dyDescent="0.2">
      <c r="A881" s="3"/>
      <c r="B881" s="3"/>
      <c r="C881" s="3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customHeight="1" x14ac:dyDescent="0.2">
      <c r="A882" s="3"/>
      <c r="B882" s="3"/>
      <c r="C882" s="3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customHeight="1" x14ac:dyDescent="0.2">
      <c r="A883" s="3"/>
      <c r="B883" s="3"/>
      <c r="C883" s="3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customHeight="1" x14ac:dyDescent="0.2">
      <c r="A884" s="3"/>
      <c r="B884" s="3"/>
      <c r="C884" s="3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customHeight="1" x14ac:dyDescent="0.2">
      <c r="A885" s="3"/>
      <c r="B885" s="3"/>
      <c r="C885" s="3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customHeight="1" x14ac:dyDescent="0.2">
      <c r="A886" s="3"/>
      <c r="B886" s="3"/>
      <c r="C886" s="3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customHeight="1" x14ac:dyDescent="0.2">
      <c r="A887" s="3"/>
      <c r="B887" s="3"/>
      <c r="C887" s="3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customHeight="1" x14ac:dyDescent="0.2">
      <c r="A888" s="3"/>
      <c r="B888" s="3"/>
      <c r="C888" s="3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customHeight="1" x14ac:dyDescent="0.2">
      <c r="A889" s="3"/>
      <c r="B889" s="3"/>
      <c r="C889" s="3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customHeight="1" x14ac:dyDescent="0.2">
      <c r="A890" s="3"/>
      <c r="B890" s="3"/>
      <c r="C890" s="3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customHeight="1" x14ac:dyDescent="0.2">
      <c r="A891" s="3"/>
      <c r="B891" s="3"/>
      <c r="C891" s="3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customHeight="1" x14ac:dyDescent="0.2">
      <c r="A892" s="3"/>
      <c r="B892" s="3"/>
      <c r="C892" s="3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customHeight="1" x14ac:dyDescent="0.2">
      <c r="A893" s="3"/>
      <c r="B893" s="3"/>
      <c r="C893" s="3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customHeight="1" x14ac:dyDescent="0.2">
      <c r="A894" s="3"/>
      <c r="B894" s="3"/>
      <c r="C894" s="3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customHeight="1" x14ac:dyDescent="0.2">
      <c r="A895" s="3"/>
      <c r="B895" s="3"/>
      <c r="C895" s="3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customHeight="1" x14ac:dyDescent="0.2">
      <c r="A896" s="3"/>
      <c r="B896" s="3"/>
      <c r="C896" s="3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customHeight="1" x14ac:dyDescent="0.2">
      <c r="A897" s="3"/>
      <c r="B897" s="3"/>
      <c r="C897" s="3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customHeight="1" x14ac:dyDescent="0.2">
      <c r="A898" s="3"/>
      <c r="B898" s="3"/>
      <c r="C898" s="3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customHeight="1" x14ac:dyDescent="0.2">
      <c r="A899" s="3"/>
      <c r="B899" s="3"/>
      <c r="C899" s="3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customHeight="1" x14ac:dyDescent="0.2">
      <c r="A900" s="3"/>
      <c r="B900" s="3"/>
      <c r="C900" s="3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customHeight="1" x14ac:dyDescent="0.2">
      <c r="A901" s="3"/>
      <c r="B901" s="3"/>
      <c r="C901" s="3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customHeight="1" x14ac:dyDescent="0.2">
      <c r="A902" s="3"/>
      <c r="B902" s="3"/>
      <c r="C902" s="3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customHeight="1" x14ac:dyDescent="0.2">
      <c r="A903" s="3"/>
      <c r="B903" s="3"/>
      <c r="C903" s="3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customHeight="1" x14ac:dyDescent="0.2">
      <c r="A904" s="3"/>
      <c r="B904" s="3"/>
      <c r="C904" s="3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customHeight="1" x14ac:dyDescent="0.2">
      <c r="A905" s="3"/>
      <c r="B905" s="3"/>
      <c r="C905" s="3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customHeight="1" x14ac:dyDescent="0.2">
      <c r="A906" s="3"/>
      <c r="B906" s="3"/>
      <c r="C906" s="3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customHeight="1" x14ac:dyDescent="0.2">
      <c r="A907" s="3"/>
      <c r="B907" s="3"/>
      <c r="C907" s="3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customHeight="1" x14ac:dyDescent="0.2">
      <c r="A908" s="3"/>
      <c r="B908" s="3"/>
      <c r="C908" s="3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customHeight="1" x14ac:dyDescent="0.2">
      <c r="A909" s="3"/>
      <c r="B909" s="3"/>
      <c r="C909" s="3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customHeight="1" x14ac:dyDescent="0.2">
      <c r="A910" s="3"/>
      <c r="B910" s="3"/>
      <c r="C910" s="3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customHeight="1" x14ac:dyDescent="0.2">
      <c r="A911" s="3"/>
      <c r="B911" s="3"/>
      <c r="C911" s="3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customHeight="1" x14ac:dyDescent="0.2">
      <c r="A912" s="3"/>
      <c r="B912" s="3"/>
      <c r="C912" s="3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customHeight="1" x14ac:dyDescent="0.2">
      <c r="A913" s="3"/>
      <c r="B913" s="3"/>
      <c r="C913" s="3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customHeight="1" x14ac:dyDescent="0.2">
      <c r="A914" s="3"/>
      <c r="B914" s="3"/>
      <c r="C914" s="3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customHeight="1" x14ac:dyDescent="0.2">
      <c r="A915" s="3"/>
      <c r="B915" s="3"/>
      <c r="C915" s="3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customHeight="1" x14ac:dyDescent="0.2">
      <c r="A916" s="3"/>
      <c r="B916" s="3"/>
      <c r="C916" s="3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customHeight="1" x14ac:dyDescent="0.2">
      <c r="A917" s="3"/>
      <c r="B917" s="3"/>
      <c r="C917" s="3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customHeight="1" x14ac:dyDescent="0.2">
      <c r="A918" s="3"/>
      <c r="B918" s="3"/>
      <c r="C918" s="3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customHeight="1" x14ac:dyDescent="0.2">
      <c r="A919" s="3"/>
      <c r="B919" s="3"/>
      <c r="C919" s="3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customHeight="1" x14ac:dyDescent="0.2">
      <c r="A920" s="3"/>
      <c r="B920" s="3"/>
      <c r="C920" s="3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customHeight="1" x14ac:dyDescent="0.2">
      <c r="A921" s="3"/>
      <c r="B921" s="3"/>
      <c r="C921" s="3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customHeight="1" x14ac:dyDescent="0.2">
      <c r="A922" s="3"/>
      <c r="B922" s="3"/>
      <c r="C922" s="3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customHeight="1" x14ac:dyDescent="0.2">
      <c r="A923" s="3"/>
      <c r="B923" s="3"/>
      <c r="C923" s="3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customHeight="1" x14ac:dyDescent="0.2">
      <c r="A924" s="3"/>
      <c r="B924" s="3"/>
      <c r="C924" s="3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customHeight="1" x14ac:dyDescent="0.2">
      <c r="A925" s="3"/>
      <c r="B925" s="3"/>
      <c r="C925" s="3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customHeight="1" x14ac:dyDescent="0.2">
      <c r="A926" s="3"/>
      <c r="B926" s="3"/>
      <c r="C926" s="3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customHeight="1" x14ac:dyDescent="0.2">
      <c r="A927" s="3"/>
      <c r="B927" s="3"/>
      <c r="C927" s="3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customHeight="1" x14ac:dyDescent="0.2">
      <c r="A928" s="3"/>
      <c r="B928" s="3"/>
      <c r="C928" s="3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customHeight="1" x14ac:dyDescent="0.2">
      <c r="A929" s="3"/>
      <c r="B929" s="3"/>
      <c r="C929" s="3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customHeight="1" x14ac:dyDescent="0.2">
      <c r="A930" s="3"/>
      <c r="B930" s="3"/>
      <c r="C930" s="3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customHeight="1" x14ac:dyDescent="0.2">
      <c r="A931" s="3"/>
      <c r="B931" s="3"/>
      <c r="C931" s="3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customHeight="1" x14ac:dyDescent="0.2">
      <c r="A932" s="3"/>
      <c r="B932" s="3"/>
      <c r="C932" s="3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customHeight="1" x14ac:dyDescent="0.2">
      <c r="A933" s="3"/>
      <c r="B933" s="3"/>
      <c r="C933" s="3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customHeight="1" x14ac:dyDescent="0.2">
      <c r="A934" s="3"/>
      <c r="B934" s="3"/>
      <c r="C934" s="3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customHeight="1" x14ac:dyDescent="0.2">
      <c r="A935" s="3"/>
      <c r="B935" s="3"/>
      <c r="C935" s="3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customHeight="1" x14ac:dyDescent="0.2">
      <c r="A936" s="3"/>
      <c r="B936" s="3"/>
      <c r="C936" s="3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customHeight="1" x14ac:dyDescent="0.2">
      <c r="A937" s="3"/>
      <c r="B937" s="3"/>
      <c r="C937" s="3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customHeight="1" x14ac:dyDescent="0.2">
      <c r="A938" s="3"/>
      <c r="B938" s="3"/>
      <c r="C938" s="3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customHeight="1" x14ac:dyDescent="0.2">
      <c r="A939" s="3"/>
      <c r="B939" s="3"/>
      <c r="C939" s="3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customHeight="1" x14ac:dyDescent="0.2">
      <c r="A940" s="3"/>
      <c r="B940" s="3"/>
      <c r="C940" s="3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customHeight="1" x14ac:dyDescent="0.2">
      <c r="A941" s="3"/>
      <c r="B941" s="3"/>
      <c r="C941" s="3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customHeight="1" x14ac:dyDescent="0.2">
      <c r="A942" s="3"/>
      <c r="B942" s="3"/>
      <c r="C942" s="3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customHeight="1" x14ac:dyDescent="0.2">
      <c r="A943" s="3"/>
      <c r="B943" s="3"/>
      <c r="C943" s="3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customHeight="1" x14ac:dyDescent="0.2">
      <c r="A944" s="3"/>
      <c r="B944" s="3"/>
      <c r="C944" s="3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customHeight="1" x14ac:dyDescent="0.2">
      <c r="A945" s="3"/>
      <c r="B945" s="3"/>
      <c r="C945" s="3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customHeight="1" x14ac:dyDescent="0.2">
      <c r="A946" s="3"/>
      <c r="B946" s="3"/>
      <c r="C946" s="3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customHeight="1" x14ac:dyDescent="0.2">
      <c r="A947" s="3"/>
      <c r="B947" s="3"/>
      <c r="C947" s="3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customHeight="1" x14ac:dyDescent="0.2">
      <c r="A948" s="3"/>
      <c r="B948" s="3"/>
      <c r="C948" s="3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customHeight="1" x14ac:dyDescent="0.2">
      <c r="A949" s="3"/>
      <c r="B949" s="3"/>
      <c r="C949" s="3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customHeight="1" x14ac:dyDescent="0.2">
      <c r="A950" s="3"/>
      <c r="B950" s="3"/>
      <c r="C950" s="3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customHeight="1" x14ac:dyDescent="0.2">
      <c r="A951" s="3"/>
      <c r="B951" s="3"/>
      <c r="C951" s="3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customHeight="1" x14ac:dyDescent="0.2">
      <c r="A952" s="3"/>
      <c r="B952" s="3"/>
      <c r="C952" s="3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customHeight="1" x14ac:dyDescent="0.2">
      <c r="A953" s="3"/>
      <c r="B953" s="3"/>
      <c r="C953" s="3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customHeight="1" x14ac:dyDescent="0.2">
      <c r="A954" s="3"/>
      <c r="B954" s="3"/>
      <c r="C954" s="3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customHeight="1" x14ac:dyDescent="0.2">
      <c r="A955" s="3"/>
      <c r="B955" s="3"/>
      <c r="C955" s="3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customHeight="1" x14ac:dyDescent="0.2">
      <c r="A956" s="3"/>
      <c r="B956" s="3"/>
      <c r="C956" s="3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customHeight="1" x14ac:dyDescent="0.2">
      <c r="A957" s="3"/>
      <c r="B957" s="3"/>
      <c r="C957" s="3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customHeight="1" x14ac:dyDescent="0.2">
      <c r="A958" s="3"/>
      <c r="B958" s="3"/>
      <c r="C958" s="3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customHeight="1" x14ac:dyDescent="0.2">
      <c r="A959" s="3"/>
      <c r="B959" s="3"/>
      <c r="C959" s="3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customHeight="1" x14ac:dyDescent="0.2">
      <c r="A960" s="3"/>
      <c r="B960" s="3"/>
      <c r="C960" s="3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customHeight="1" x14ac:dyDescent="0.2">
      <c r="A961" s="3"/>
      <c r="B961" s="3"/>
      <c r="C961" s="3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customHeight="1" x14ac:dyDescent="0.2">
      <c r="A962" s="3"/>
      <c r="B962" s="3"/>
      <c r="C962" s="3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customHeight="1" x14ac:dyDescent="0.2">
      <c r="A963" s="3"/>
      <c r="B963" s="3"/>
      <c r="C963" s="3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customHeight="1" x14ac:dyDescent="0.2">
      <c r="A964" s="3"/>
      <c r="B964" s="3"/>
      <c r="C964" s="3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customHeight="1" x14ac:dyDescent="0.2">
      <c r="A965" s="3"/>
      <c r="B965" s="3"/>
      <c r="C965" s="3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customHeight="1" x14ac:dyDescent="0.2">
      <c r="A966" s="3"/>
      <c r="B966" s="3"/>
      <c r="C966" s="3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customHeight="1" x14ac:dyDescent="0.2">
      <c r="A967" s="3"/>
      <c r="B967" s="3"/>
      <c r="C967" s="3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customHeight="1" x14ac:dyDescent="0.2">
      <c r="A968" s="3"/>
      <c r="B968" s="3"/>
      <c r="C968" s="3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customHeight="1" x14ac:dyDescent="0.2">
      <c r="A969" s="3"/>
      <c r="B969" s="3"/>
      <c r="C969" s="3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customHeight="1" x14ac:dyDescent="0.2">
      <c r="A970" s="3"/>
      <c r="B970" s="3"/>
      <c r="C970" s="3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customHeight="1" x14ac:dyDescent="0.2">
      <c r="A971" s="3"/>
      <c r="B971" s="3"/>
      <c r="C971" s="3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customHeight="1" x14ac:dyDescent="0.2">
      <c r="A972" s="3"/>
      <c r="B972" s="3"/>
      <c r="C972" s="3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customHeight="1" x14ac:dyDescent="0.2">
      <c r="A973" s="3"/>
      <c r="B973" s="3"/>
      <c r="C973" s="3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customHeight="1" x14ac:dyDescent="0.2">
      <c r="A974" s="3"/>
      <c r="B974" s="3"/>
      <c r="C974" s="3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customHeight="1" x14ac:dyDescent="0.2">
      <c r="A975" s="3"/>
      <c r="B975" s="3"/>
      <c r="C975" s="3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customHeight="1" x14ac:dyDescent="0.2">
      <c r="A976" s="3"/>
      <c r="B976" s="3"/>
      <c r="C976" s="3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customHeight="1" x14ac:dyDescent="0.2">
      <c r="A977" s="3"/>
      <c r="B977" s="3"/>
      <c r="C977" s="3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customHeight="1" x14ac:dyDescent="0.2">
      <c r="A978" s="3"/>
      <c r="B978" s="3"/>
      <c r="C978" s="3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customHeight="1" x14ac:dyDescent="0.2">
      <c r="A979" s="3"/>
      <c r="B979" s="3"/>
      <c r="C979" s="3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customHeight="1" x14ac:dyDescent="0.2">
      <c r="A980" s="3"/>
      <c r="B980" s="3"/>
      <c r="C980" s="3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customHeight="1" x14ac:dyDescent="0.2">
      <c r="A981" s="3"/>
      <c r="B981" s="3"/>
      <c r="C981" s="3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customHeight="1" x14ac:dyDescent="0.2">
      <c r="A982" s="3"/>
      <c r="B982" s="3"/>
      <c r="C982" s="3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customHeight="1" x14ac:dyDescent="0.2">
      <c r="A983" s="3"/>
      <c r="B983" s="3"/>
      <c r="C983" s="3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customHeight="1" x14ac:dyDescent="0.2">
      <c r="A984" s="3"/>
      <c r="B984" s="3"/>
      <c r="C984" s="3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customHeight="1" x14ac:dyDescent="0.2">
      <c r="A985" s="3"/>
      <c r="B985" s="3"/>
      <c r="C985" s="3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customHeight="1" x14ac:dyDescent="0.2">
      <c r="A986" s="3"/>
      <c r="B986" s="3"/>
      <c r="C986" s="3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customHeight="1" x14ac:dyDescent="0.2">
      <c r="A987" s="3"/>
      <c r="B987" s="3"/>
      <c r="C987" s="3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customHeight="1" x14ac:dyDescent="0.2">
      <c r="A988" s="3"/>
      <c r="B988" s="3"/>
      <c r="C988" s="3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customHeight="1" x14ac:dyDescent="0.2">
      <c r="A989" s="3"/>
      <c r="B989" s="3"/>
      <c r="C989" s="3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customHeight="1" x14ac:dyDescent="0.2">
      <c r="A990" s="3"/>
      <c r="B990" s="3"/>
      <c r="C990" s="3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customHeight="1" x14ac:dyDescent="0.2">
      <c r="A991" s="3"/>
      <c r="B991" s="3"/>
      <c r="C991" s="3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customHeight="1" x14ac:dyDescent="0.2">
      <c r="A992" s="3"/>
      <c r="B992" s="3"/>
      <c r="C992" s="3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customHeight="1" x14ac:dyDescent="0.2">
      <c r="A993" s="3"/>
      <c r="B993" s="3"/>
      <c r="C993" s="3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customHeight="1" x14ac:dyDescent="0.2">
      <c r="A994" s="3"/>
      <c r="B994" s="3"/>
      <c r="C994" s="3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customHeight="1" x14ac:dyDescent="0.2">
      <c r="A995" s="3"/>
      <c r="B995" s="3"/>
      <c r="C995" s="3"/>
      <c r="D995" s="8"/>
      <c r="E995" s="8"/>
      <c r="F995" s="8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customHeight="1" x14ac:dyDescent="0.2">
      <c r="A996" s="3"/>
      <c r="B996" s="3"/>
      <c r="C996" s="3"/>
      <c r="D996" s="8"/>
      <c r="E996" s="8"/>
      <c r="F996" s="8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customHeight="1" x14ac:dyDescent="0.2">
      <c r="D997" s="8"/>
      <c r="E997" s="8"/>
      <c r="F997" s="8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customHeight="1" x14ac:dyDescent="0.2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customHeight="1" x14ac:dyDescent="0.2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customHeight="1" x14ac:dyDescent="0.2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All_Years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Gunarathna, Minasha</dc:creator>
  <cp:lastModifiedBy>Rajesh, Adarsh</cp:lastModifiedBy>
  <dcterms:created xsi:type="dcterms:W3CDTF">2025-10-25T19:15:02Z</dcterms:created>
  <dcterms:modified xsi:type="dcterms:W3CDTF">2025-11-03T20:41:21Z</dcterms:modified>
</cp:coreProperties>
</file>